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gypt_Ag_Seasons_Reference" sheetId="2" state="visible" r:id="rId4"/>
    <sheet name="Zone_ETo_Assumptions" sheetId="3" state="visible" r:id="rId5"/>
    <sheet name="Ready_Lookup_Water_by_Crop" sheetId="4" state="visible" r:id="rId6"/>
    <sheet name="Seasonal_ETcrop_Range" sheetId="5" state="visible" r:id="rId7"/>
    <sheet name="Kc_Values" sheetId="6" state="visible" r:id="rId8"/>
    <sheet name="Growth_Stage_Lengths" sheetId="7" state="visible" r:id="rId9"/>
    <sheet name="Sinai_Egypt_NIWR" sheetId="8" state="visible" r:id="rId10"/>
    <sheet name="Worked_Example_ETc_Calc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<sst xmlns="http://schemas.openxmlformats.org/spreadsheetml/2006/main" count="928" uniqueCount="235">
  <si>
    <t xml:space="preserve">Egypt Crop Water Requirement — Validation Reference Workbook</t>
  </si>
  <si>
    <t xml:space="preserve">Purpose: reference data to validate the water-budget constraint of a crop-mix optimization system against published sources.</t>
  </si>
  <si>
    <t xml:space="preserve">Sheet guide:</t>
  </si>
  <si>
    <t xml:space="preserve">  1. Seasonal_ETcrop_Range — FAO Irrigation &amp; Drainage Paper 24, Table 20. Quick plausibility check: total seasonal water use range (mm) per crop, ~29 crops, generic/global. Use this for a fast sanity check with no calculation needed.</t>
  </si>
  <si>
    <t xml:space="preserve">  2. Kc_Values — FAO Irrigation &amp; Drainage Paper 24, Table 21. Crop coefficients (Kc) for mid-season and end-season stages, split by humidity/wind class. Egypt = arid, use the 'RHmin&lt;20%' columns. ~35 crops.</t>
  </si>
  <si>
    <t xml:space="preserve">  3. Growth_Stage_Lengths — FAO Irrigation &amp; Drainage Paper 24, Table 22. Typical initial/development/mid-season/late-season stage lengths (days) by crop and example region, several explicitly reference Egypt.</t>
  </si>
  <si>
    <t xml:space="preserve">  4. Sinai_Egypt_NIWR — Gabr &amp; Fattouh (2021), Ain Shams Engineering Journal. Egypt-measured (not generic) net irrigation water requirement for 8 crops across two Sinai agro-ecological regions (AER1 clay / AER2 sandy). Stronger evidence where it overlaps with your crops, but narrow geographic coverage.</t>
  </si>
  <si>
    <t xml:space="preserve">  5. Worked_Example_ETc_Calc — a live formula template showing how Kc and ETo combine into a real seasonal water requirement, stage by stage, rather than a single constant number. Edit the yellow cells with your farmer's real location/ETo data.</t>
  </si>
  <si>
    <t xml:space="preserve">IMPORTANT — why there is no single 'ETc value' per crop:</t>
  </si>
  <si>
    <t xml:space="preserve">Crop water need is NOT a constant. It is ETc(t) = Kc(t) x ETo(t), where both terms vary through the season:</t>
  </si>
  <si>
    <t xml:space="preserve">  - Kc (crop coefficient) changes across four growth stages: initial -&gt; development -&gt; mid-season -&gt; late-season.</t>
  </si>
  <si>
    <t xml:space="preserve">  - ETo (reference evapotranspiration) changes day to day with temperature, humidity, wind, and solar radiation.</t>
  </si>
  <si>
    <t xml:space="preserve">Table 20's mm ranges are already season-integrated totals (a valid shortcut for quick checks). Table 21's Kc values are the raw building blocks for a proper stage-by-stage calculation, shown worked out in the last sheet.</t>
  </si>
  <si>
    <t xml:space="preserve">Known data-quality caveats:</t>
  </si>
  <si>
    <t xml:space="preserve">  - A few Kc values in Table 21 showed OCR ambiguity in the scanned source PDF (e.g. Potato mid-season, Beans-green end-season). Flagged with a comment in that sheet — verify against the original PDF page before treating as final for a published claim.</t>
  </si>
  <si>
    <t xml:space="preserve">  - Sinai NIWR sheet covers only 8 crops in 2 regions — do not treat as representative of all of Egypt.</t>
  </si>
  <si>
    <t xml:space="preserve">  - Worked example ETo values are ILLUSTRATIVE placeholders, not sourced Egyptian weather data — replace before using real conclusions.</t>
  </si>
  <si>
    <t xml:space="preserve">Egypt's agricultural seasons and typical crops</t>
  </si>
  <si>
    <t xml:space="preserve">Season (English)</t>
  </si>
  <si>
    <t xml:space="preserve">Season (local term)</t>
  </si>
  <si>
    <t xml:space="preserve">Typical months</t>
  </si>
  <si>
    <t xml:space="preserve">Typical crops (examples)</t>
  </si>
  <si>
    <t xml:space="preserve">Notes</t>
  </si>
  <si>
    <t xml:space="preserve">Winter</t>
  </si>
  <si>
    <t xml:space="preserve">Shtwi (شتوي)</t>
  </si>
  <si>
    <t xml:space="preserve">~November - April/May</t>
  </si>
  <si>
    <t xml:space="preserve">Wheat, berseem clover, faba beans, barley, onion, garlic, sugar beet</t>
  </si>
  <si>
    <t xml:space="preserve">Egypt's main cereal and clover season; berseem is the dominant winter livestock fodder crop.</t>
  </si>
  <si>
    <t xml:space="preserve">Summer</t>
  </si>
  <si>
    <t xml:space="preserve">Sayfi (صيفي)</t>
  </si>
  <si>
    <t xml:space="preserve">~April/May - September/October</t>
  </si>
  <si>
    <t xml:space="preserve">Cotton, rice, summer maize, soybean, sesame, sunflower, peanuts, summer vegetables (tomato)</t>
  </si>
  <si>
    <t xml:space="preserve">Highest water demand season; cotton and rice are the classic large-area summer crops.</t>
  </si>
  <si>
    <t xml:space="preserve">Nili</t>
  </si>
  <si>
    <t xml:space="preserve">Nili (نيلي)</t>
  </si>
  <si>
    <t xml:space="preserve">~July/August - November</t>
  </si>
  <si>
    <t xml:space="preserve">Nili maize, sorghum, some vegetables</t>
  </si>
  <si>
    <t xml:space="preserve">Historic flood-season planting (named after the Nile flood); much smaller area today post-Aswan High Dam, but still used administratively, mainly for a second maize crop.</t>
  </si>
  <si>
    <t xml:space="preserve">Perennial / multi-season</t>
  </si>
  <si>
    <t xml:space="preserve">-</t>
  </si>
  <si>
    <t xml:space="preserve">Year-round (12-24 month cycle)</t>
  </si>
  <si>
    <t xml:space="preserve">Sugarcane, banana, some fruit orchards</t>
  </si>
  <si>
    <t xml:space="preserve">Does not fit a single season. Sugarcane in Egypt is grown almost entirely in Upper Egypt (Qena, Aswan, Luxor) on ratoon cycles of ~12 months.</t>
  </si>
  <si>
    <t xml:space="preserve">Note: many crops (e.g. tomato, potato) are grown in more than one season depending on region and variety. This table shows the DOMINANT/classic season per crop for a typical smallholding, not an exhaustive planting calendar.</t>
  </si>
  <si>
    <t xml:space="preserve">Major Egyptian agricultural zones - reference evapotranspiration (ETo) assumptions</t>
  </si>
  <si>
    <t xml:space="preserve">CAUTION: the ETo values below are APPROXIMATE, general-knowledge placeholders reflecting Egypt's known north-south climate gradient (Delta = milder/more humid, Upper Egypt = hotter/drier). They are NOT extracted from a specific measured source for this workbook. Replace the yellow cells with real station data (e.g. from the CROPWAT-Egypt zone study, or a live source like NASA POWER) before relying on the Estimated rows for anything beyond a first-pass sanity check.</t>
  </si>
  <si>
    <t xml:space="preserve">Zone</t>
  </si>
  <si>
    <t xml:space="preserve">Governorates (examples)</t>
  </si>
  <si>
    <t xml:space="preserve">Climate character</t>
  </si>
  <si>
    <t xml:space="preserve">Winter ETo (mm/day) [EDIT ME]</t>
  </si>
  <si>
    <t xml:space="preserve">Summer ETo (mm/day) [EDIT ME]</t>
  </si>
  <si>
    <t xml:space="preserve">Nili ETo (mm/day) [EDIT ME]</t>
  </si>
  <si>
    <t xml:space="preserve">Delta</t>
  </si>
  <si>
    <t xml:space="preserve">Dakahlia, Gharbia, Kafr El-Sheikh, Beheira, Sharqia, Monufia, Qalyubia, Damietta</t>
  </si>
  <si>
    <t xml:space="preserve">Mediterranean-influenced, more humid, milder</t>
  </si>
  <si>
    <t xml:space="preserve">Middle Egypt</t>
  </si>
  <si>
    <t xml:space="preserve">Fayoum, Beni Suef, Minya</t>
  </si>
  <si>
    <t xml:space="preserve">Transitional desert climate</t>
  </si>
  <si>
    <t xml:space="preserve">Upper Egypt</t>
  </si>
  <si>
    <t xml:space="preserve">Sohag, Qena, Luxor, Aswan</t>
  </si>
  <si>
    <t xml:space="preserve">Hot arid desert, low humidity, high ETo - hottest/driest zone in Egypt</t>
  </si>
  <si>
    <t xml:space="preserve">Sinai / Reclaimed Lands</t>
  </si>
  <si>
    <t xml:space="preserve">North Sinai, Ismailia, New Valley, desert-fringe reclaimed land</t>
  </si>
  <si>
    <t xml:space="preserve">Sandy soils, more wind exposure, variable</t>
  </si>
  <si>
    <t xml:space="preserve">Ready-to-use lookup: water requirement by crop, Egyptian season, and zone</t>
  </si>
  <si>
    <t xml:space="preserve">Green rows = MEASURED (Gabr &amp; Fattouh 2021, Sinai only). Orange rows = ESTIMATED (Kc x zone ETo x typical season length, single mid-season-Kc approximation - not a full 4-stage curve like the Worked_Example sheet). Use Measured rows as ground truth where available; use Estimated rows for broader zone/crop coverage with lower confidence.</t>
  </si>
  <si>
    <t xml:space="preserve">Crop</t>
  </si>
  <si>
    <t xml:space="preserve">Season</t>
  </si>
  <si>
    <t xml:space="preserve">Data Quality</t>
  </si>
  <si>
    <t xml:space="preserve">ETo used (mm/day)</t>
  </si>
  <si>
    <t xml:space="preserve">Kc (mid-season, arid)</t>
  </si>
  <si>
    <t xml:space="preserve">Typical season length (days)</t>
  </si>
  <si>
    <t xml:space="preserve">Estimated seasonal water requirement (mm)</t>
  </si>
  <si>
    <t xml:space="preserve">Estimated (m3/feddan)</t>
  </si>
  <si>
    <t xml:space="preserve">Source</t>
  </si>
  <si>
    <t xml:space="preserve">Wheat</t>
  </si>
  <si>
    <t xml:space="preserve">Sinai - El-Kantara (AER2, sandy)</t>
  </si>
  <si>
    <t xml:space="preserve">MEASURED</t>
  </si>
  <si>
    <t xml:space="preserve">n/a</t>
  </si>
  <si>
    <t xml:space="preserve">Gabr &amp; Fattouh 2021</t>
  </si>
  <si>
    <t xml:space="preserve">Directly measured via CROPWAT8 for this exact region - highest confidence row in this sheet.</t>
  </si>
  <si>
    <t xml:space="preserve">Barley</t>
  </si>
  <si>
    <t xml:space="preserve">Sinai - Tina Plain (AER1, clay)</t>
  </si>
  <si>
    <t xml:space="preserve">Berseem clover</t>
  </si>
  <si>
    <t xml:space="preserve">Tomato</t>
  </si>
  <si>
    <t xml:space="preserve">Cotton</t>
  </si>
  <si>
    <t xml:space="preserve">Sinai - Tina Plain (AER1, clay) [cross-check]</t>
  </si>
  <si>
    <t xml:space="preserve">Gabr &amp; Fattouh 2021 (companion paper)</t>
  </si>
  <si>
    <t xml:space="preserve">Maize</t>
  </si>
  <si>
    <t xml:space="preserve">Sugarbeet</t>
  </si>
  <si>
    <t xml:space="preserve">Greenbeans</t>
  </si>
  <si>
    <t xml:space="preserve">ESTIMATED</t>
  </si>
  <si>
    <t xml:space="preserve">Calculated: FAO24 Table 21 Kc x Zone_ETo_Assumptions x typical season length</t>
  </si>
  <si>
    <t xml:space="preserve">Single mid-season-Kc approximation, not a full 4-stage curve - treat as a first-pass estimate, refine using Worked_Example_ETc_Calc method for final numbers.</t>
  </si>
  <si>
    <t xml:space="preserve">Faba beans (proxy: Beans dry/Pulses)</t>
  </si>
  <si>
    <t xml:space="preserve">Sugar beet</t>
  </si>
  <si>
    <t xml:space="preserve">Onion (dry)</t>
  </si>
  <si>
    <t xml:space="preserve">Soybeans</t>
  </si>
  <si>
    <t xml:space="preserve">Rice</t>
  </si>
  <si>
    <t xml:space="preserve">FAO24 Table 28 (Rice) - 'Europe dry season, May/June planting' matched to Egypt's actual rice calendar</t>
  </si>
  <si>
    <t xml:space="preserve">Rice uses its own regional Kc table (not the generic field-crop table). Egypt's rice season (May/June-Sept/Oct) most closely matches the Europe dry-season entry.</t>
  </si>
  <si>
    <t xml:space="preserve">Sugarcane (12-month ratoon)</t>
  </si>
  <si>
    <t xml:space="preserve">Perennial (peak-use period shown)</t>
  </si>
  <si>
    <t xml:space="preserve">FAO24 Table 29 (Sugarcane), 12-month ratoon crop, peak-use growth stage, RHmin&lt;20%</t>
  </si>
  <si>
    <t xml:space="preserve">Sugarcane is grown almost exclusively in Upper Egypt (Qena/Aswan) on a continuous 12-month ratoon cycle - this row shows only the peak-water-demand period (~180 days), not a full annual total. Days figure is illustrative; refine with local ratoon-cycle data.</t>
  </si>
  <si>
    <t xml:space="preserve">Known data gap: Berseem clover has no Kc table in FAO24's Table 21 (it belongs in the separate Alfalfa/Clover table, not extracted into this workbook). Only the Measured Sinai rows above cover berseem - no Estimated rows exist for other zones for this crop.</t>
  </si>
  <si>
    <t xml:space="preserve">All Estimated rows use a SINGLE mid-season Kc x typical season length as a simplification. Real crop water use is NOT constant across the season (see Worked_Example_ETc_Calc sheet) - this lookup is a fast first-pass check, not a substitute for the full 4-stage calculation for final validated numbers.</t>
  </si>
  <si>
    <t xml:space="preserve">Seasonal ETcrop Min (mm)</t>
  </si>
  <si>
    <t xml:space="preserve">Seasonal ETcrop Max (mm)</t>
  </si>
  <si>
    <t xml:space="preserve">Alfalfa</t>
  </si>
  <si>
    <t xml:space="preserve">FAO Irrigation &amp; Drainage Paper 24, Table 20</t>
  </si>
  <si>
    <t xml:space="preserve">Avocado</t>
  </si>
  <si>
    <t xml:space="preserve">Bananas</t>
  </si>
  <si>
    <t xml:space="preserve">Beans</t>
  </si>
  <si>
    <t xml:space="preserve">Cocoa</t>
  </si>
  <si>
    <t xml:space="preserve">Coffee</t>
  </si>
  <si>
    <t xml:space="preserve">Dates</t>
  </si>
  <si>
    <t xml:space="preserve">Deciduous trees</t>
  </si>
  <si>
    <t xml:space="preserve">Flax</t>
  </si>
  <si>
    <t xml:space="preserve">Grains (small - wheat/barley/oats)</t>
  </si>
  <si>
    <t xml:space="preserve">Grapefruit</t>
  </si>
  <si>
    <t xml:space="preserve">Oil seeds</t>
  </si>
  <si>
    <t xml:space="preserve">Onions</t>
  </si>
  <si>
    <t xml:space="preserve">Orange</t>
  </si>
  <si>
    <t xml:space="preserve">Potatoes</t>
  </si>
  <si>
    <t xml:space="preserve">Sisal</t>
  </si>
  <si>
    <t xml:space="preserve">Sorghum</t>
  </si>
  <si>
    <t xml:space="preserve">Sugarbeets</t>
  </si>
  <si>
    <t xml:space="preserve">Sugarcane</t>
  </si>
  <si>
    <t xml:space="preserve">Sweet potatoes</t>
  </si>
  <si>
    <t xml:space="preserve">Tobacco</t>
  </si>
  <si>
    <t xml:space="preserve">Tomatoes</t>
  </si>
  <si>
    <t xml:space="preserve">Vegetables</t>
  </si>
  <si>
    <t xml:space="preserve">Vineyards</t>
  </si>
  <si>
    <t xml:space="preserve">Walnuts</t>
  </si>
  <si>
    <t xml:space="preserve">Stage</t>
  </si>
  <si>
    <t xml:space="preserve">Kc (RHmin&gt;70%, wind 0-5 m/s)</t>
  </si>
  <si>
    <t xml:space="preserve">Kc (RHmin&gt;70%, wind 5-8 m/s)</t>
  </si>
  <si>
    <t xml:space="preserve">Kc (RHmin&lt;20%, wind 0-5 m/s)</t>
  </si>
  <si>
    <t xml:space="preserve">Kc (RHmin&lt;20%, wind 5-8 m/s)</t>
  </si>
  <si>
    <t xml:space="preserve">mid_season</t>
  </si>
  <si>
    <t xml:space="preserve">FAO Irrigation &amp; Drainage Paper 24, Table 21</t>
  </si>
  <si>
    <t xml:space="preserve">end_season</t>
  </si>
  <si>
    <t xml:space="preserve">Beans (green)</t>
  </si>
  <si>
    <t xml:space="preserve">FAO Irrigation &amp; Drainage Paper 24, Table 21  [OCR-uncertain value in source scan - verify against original PDF page before citing]</t>
  </si>
  <si>
    <t xml:space="preserve">Beans (dry) / Pulses</t>
  </si>
  <si>
    <t xml:space="preserve">Beets (table)</t>
  </si>
  <si>
    <t xml:space="preserve">Carrots</t>
  </si>
  <si>
    <t xml:space="preserve">Castorbeans</t>
  </si>
  <si>
    <t xml:space="preserve">Celery</t>
  </si>
  <si>
    <t xml:space="preserve">Corn / Maize (sweet)</t>
  </si>
  <si>
    <t xml:space="preserve">Corn / Maize (grain)</t>
  </si>
  <si>
    <t xml:space="preserve">Crucifers (cabbage/cauliflower/broccoli)</t>
  </si>
  <si>
    <t xml:space="preserve">Cucumber (fresh market)</t>
  </si>
  <si>
    <t xml:space="preserve">Cucumber (machine harvest)</t>
  </si>
  <si>
    <t xml:space="preserve">Egg plant (aubergine)</t>
  </si>
  <si>
    <t xml:space="preserve">Grain (general)</t>
  </si>
  <si>
    <t xml:space="preserve">Lentil</t>
  </si>
  <si>
    <t xml:space="preserve">Lettuce</t>
  </si>
  <si>
    <t xml:space="preserve">Melons</t>
  </si>
  <si>
    <t xml:space="preserve">Millet</t>
  </si>
  <si>
    <t xml:space="preserve">Oats</t>
  </si>
  <si>
    <t xml:space="preserve">Onion (green)</t>
  </si>
  <si>
    <t xml:space="preserve">Peanuts (groundnuts)</t>
  </si>
  <si>
    <t xml:space="preserve">Peas</t>
  </si>
  <si>
    <t xml:space="preserve">Peppers (fresh)</t>
  </si>
  <si>
    <t xml:space="preserve">Potato</t>
  </si>
  <si>
    <t xml:space="preserve">Radishes</t>
  </si>
  <si>
    <t xml:space="preserve">Safflower</t>
  </si>
  <si>
    <t xml:space="preserve">Spinach</t>
  </si>
  <si>
    <t xml:space="preserve">Squash</t>
  </si>
  <si>
    <t xml:space="preserve">Sunflower</t>
  </si>
  <si>
    <t xml:space="preserve">Example region / planting window</t>
  </si>
  <si>
    <t xml:space="preserve">Initial (days)</t>
  </si>
  <si>
    <t xml:space="preserve">Development (days)</t>
  </si>
  <si>
    <t xml:space="preserve">Mid-season (days)</t>
  </si>
  <si>
    <t xml:space="preserve">Late-season (days)</t>
  </si>
  <si>
    <t xml:space="preserve">Total (days)</t>
  </si>
  <si>
    <t xml:space="preserve">Wheat/Barley/Oats</t>
  </si>
  <si>
    <t xml:space="preserve">Central India, November planting</t>
  </si>
  <si>
    <t xml:space="preserve">FAO Irrigation &amp; Drainage Paper 24, Table 22</t>
  </si>
  <si>
    <t xml:space="preserve">East African highlands, July planting</t>
  </si>
  <si>
    <t xml:space="preserve">Aug-Sep planting: California desert, Egypt, Coastal Lebanon</t>
  </si>
  <si>
    <t xml:space="preserve">Feb-Mar planting: California desert, Mediterranean</t>
  </si>
  <si>
    <t xml:space="preserve">March planting Egypt / April-May Pakistan / Sept planting South Arabia</t>
  </si>
  <si>
    <t xml:space="preserve">Spring planting, machine harvested, Texas</t>
  </si>
  <si>
    <t xml:space="preserve">Cucumber</t>
  </si>
  <si>
    <t xml:space="preserve">June planting Egypt / Aug-Oct California desert</t>
  </si>
  <si>
    <t xml:space="preserve">Corn (maize, grain)</t>
  </si>
  <si>
    <t xml:space="preserve">June planting sub-humid Nigeria / early Oct India</t>
  </si>
  <si>
    <t xml:space="preserve">April planting Southern Spain</t>
  </si>
  <si>
    <t xml:space="preserve">Early spring planting, Uruguay</t>
  </si>
  <si>
    <t xml:space="preserve">Late winter planting, warm winter desert</t>
  </si>
  <si>
    <t xml:space="preserve">Spring planting, Mediterranean climates</t>
  </si>
  <si>
    <t xml:space="preserve">Potato (Irish)</t>
  </si>
  <si>
    <t xml:space="preserve">Full planting, warm winter desert climates</t>
  </si>
  <si>
    <t xml:space="preserve">Warm winter desert climates</t>
  </si>
  <si>
    <t xml:space="preserve">Warm season desert climates</t>
  </si>
  <si>
    <t xml:space="preserve">May planting, California desert</t>
  </si>
  <si>
    <t xml:space="preserve">Spring planting, Mediterranean</t>
  </si>
  <si>
    <t xml:space="preserve">Dry season planting, West Africa</t>
  </si>
  <si>
    <t xml:space="preserve">Note: this is a SELECTED subset of Table 22 (entries with clear Egypt relevance or major crops). The full table in the source PDF covers ~40 crops; see the FAO24 PDF pages 42-44 for the complete list.</t>
  </si>
  <si>
    <t xml:space="preserve">Region Code</t>
  </si>
  <si>
    <t xml:space="preserve">Region Name</t>
  </si>
  <si>
    <t xml:space="preserve">Soil Type</t>
  </si>
  <si>
    <t xml:space="preserve">NIWR (mm)</t>
  </si>
  <si>
    <t xml:space="preserve">NIWR (m3/feddan) [calculated]</t>
  </si>
  <si>
    <t xml:space="preserve">summer</t>
  </si>
  <si>
    <t xml:space="preserve">AER1</t>
  </si>
  <si>
    <t xml:space="preserve">Tina Plain</t>
  </si>
  <si>
    <t xml:space="preserve">clay</t>
  </si>
  <si>
    <t xml:space="preserve">Gabr &amp; Fattouh (2021), Ain Shams Engineering Journal 12(2):1623-1636</t>
  </si>
  <si>
    <t xml:space="preserve">winter</t>
  </si>
  <si>
    <t xml:space="preserve">AER2</t>
  </si>
  <si>
    <t xml:space="preserve">East South El-Kantara</t>
  </si>
  <si>
    <t xml:space="preserve">sandy</t>
  </si>
  <si>
    <t xml:space="preserve">NIWR = Net Irrigation Water Requirement (after subtracting effective rainfall). Paper models surface irrigation efficiency of 40% (AER1, clay) and 60% (AER2, sandy/drip/sprinkler) - divide NIWR by that efficiency to estimate GROSS water applied, if your model tracks gross rather than net.</t>
  </si>
  <si>
    <t xml:space="preserve">m3/feddan column is a CALCULATED conversion (mm x 10 = m3/ha, x 0.42 = m3/feddan) using a live formula - not directly extracted from the source paper, which reports only mm.</t>
  </si>
  <si>
    <t xml:space="preserve">Worked example: Wheat, arid climate (Egypt), stage-by-stage ETc calculation</t>
  </si>
  <si>
    <t xml:space="preserve">Yellow cells = edit with your farmer's real location/ETo data. This demonstrates ETc(t) = Kc(t) x ETo(t), summed by stage - not a single constant.</t>
  </si>
  <si>
    <t xml:space="preserve">Days</t>
  </si>
  <si>
    <t xml:space="preserve">Assumed ETo (mm/day) [EDIT ME]</t>
  </si>
  <si>
    <t xml:space="preserve">Stage ETc (mm)</t>
  </si>
  <si>
    <t xml:space="preserve">Initial</t>
  </si>
  <si>
    <t xml:space="preserve">Kc-initial is NOT a Table 21 constant - depends on irrigation frequency and ETo level (Fig. 6 in source). 0.3 is a typical cereal placeholder; refine with Fig. 6 or local data.</t>
  </si>
  <si>
    <t xml:space="preserve">Development</t>
  </si>
  <si>
    <t xml:space="preserve">Linear interpolation between initial-stage Kc and mid-season Kc, per FAO-24 methodology.</t>
  </si>
  <si>
    <t xml:space="preserve">Mid-season</t>
  </si>
  <si>
    <t xml:space="preserve">From Kc_Values sheet: Wheat, mid_season, RHmin&lt;20%, wind 0-5 m/s.</t>
  </si>
  <si>
    <t xml:space="preserve">Late-season</t>
  </si>
  <si>
    <t xml:space="preserve">Interpolation between mid-season Kc and end-season Kc (helper cell C10).</t>
  </si>
  <si>
    <t xml:space="preserve">TOTAL SEASONAL ETc</t>
  </si>
  <si>
    <t xml:space="preserve">Sanity check vs. Table 20 range for 'Grains (small)':</t>
  </si>
  <si>
    <t xml:space="preserve">300 - 450 mm (Seasonal_ETcrop_Range sheet)</t>
  </si>
  <si>
    <t xml:space="preserve">Within range?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</si>
</sst>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0"/>
    <numFmt numFmtId="168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FCE5CD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/>
    </row>
    <row r="3" customFormat="false" ht="27.75" hidden="false" customHeight="true" outlineLevel="0" collapsed="false">
      <c r="A3" s="2" t="s">
        <v>1</v>
      </c>
    </row>
    <row r="4" customFormat="false" ht="15.75" hidden="false" customHeight="true" outlineLevel="0" collapsed="false">
      <c r="A4" s="2"/>
    </row>
    <row r="5" customFormat="false" ht="15.75" hidden="false" customHeight="true" outlineLevel="0" collapsed="false">
      <c r="A5" s="3" t="s">
        <v>2</v>
      </c>
    </row>
    <row r="6" customFormat="false" ht="27.75" hidden="false" customHeight="true" outlineLevel="0" collapsed="false">
      <c r="A6" s="4" t="s">
        <v>3</v>
      </c>
    </row>
    <row r="7" customFormat="false" ht="27.75" hidden="false" customHeight="true" outlineLevel="0" collapsed="false">
      <c r="A7" s="4" t="s">
        <v>4</v>
      </c>
    </row>
    <row r="8" customFormat="false" ht="27.75" hidden="false" customHeight="true" outlineLevel="0" collapsed="false">
      <c r="A8" s="4" t="s">
        <v>5</v>
      </c>
    </row>
    <row r="9" customFormat="false" ht="27.75" hidden="false" customHeight="true" outlineLevel="0" collapsed="false">
      <c r="A9" s="4" t="s">
        <v>6</v>
      </c>
    </row>
    <row r="10" customFormat="false" ht="27.75" hidden="false" customHeight="true" outlineLevel="0" collapsed="false">
      <c r="A10" s="4" t="s">
        <v>7</v>
      </c>
    </row>
    <row r="11" customFormat="false" ht="15.75" hidden="false" customHeight="true" outlineLevel="0" collapsed="false">
      <c r="A11" s="2"/>
    </row>
    <row r="12" customFormat="false" ht="15.75" hidden="false" customHeight="true" outlineLevel="0" collapsed="false">
      <c r="A12" s="3" t="s">
        <v>8</v>
      </c>
    </row>
    <row r="13" customFormat="false" ht="27.75" hidden="false" customHeight="true" outlineLevel="0" collapsed="false">
      <c r="A13" s="4" t="s">
        <v>9</v>
      </c>
    </row>
    <row r="14" customFormat="false" ht="27.75" hidden="false" customHeight="true" outlineLevel="0" collapsed="false">
      <c r="A14" s="4" t="s">
        <v>10</v>
      </c>
    </row>
    <row r="15" customFormat="false" ht="27.75" hidden="false" customHeight="true" outlineLevel="0" collapsed="false">
      <c r="A15" s="4" t="s">
        <v>11</v>
      </c>
    </row>
    <row r="16" customFormat="false" ht="27.75" hidden="false" customHeight="true" outlineLevel="0" collapsed="false">
      <c r="A16" s="4" t="s">
        <v>12</v>
      </c>
    </row>
    <row r="17" customFormat="false" ht="15.75" hidden="false" customHeight="true" outlineLevel="0" collapsed="false">
      <c r="A17" s="2"/>
    </row>
    <row r="18" customFormat="false" ht="15.75" hidden="false" customHeight="true" outlineLevel="0" collapsed="false">
      <c r="A18" s="3" t="s">
        <v>13</v>
      </c>
    </row>
    <row r="19" customFormat="false" ht="27.75" hidden="false" customHeight="true" outlineLevel="0" collapsed="false">
      <c r="A19" s="4" t="s">
        <v>14</v>
      </c>
    </row>
    <row r="20" customFormat="false" ht="27.75" hidden="false" customHeight="true" outlineLevel="0" collapsed="false">
      <c r="A20" s="4" t="s">
        <v>15</v>
      </c>
    </row>
    <row r="21" customFormat="false" ht="27.75" hidden="false" customHeight="true" outlineLevel="0" collapsed="false">
      <c r="A2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55"/>
  </cols>
  <sheetData>
    <row r="1" customFormat="false" ht="16.15" hidden="false" customHeight="false" outlineLevel="0" collapsed="false">
      <c r="A1" s="5" t="s">
        <v>17</v>
      </c>
      <c r="B1" s="5"/>
      <c r="C1" s="5"/>
      <c r="D1" s="5"/>
      <c r="E1" s="5"/>
    </row>
    <row r="3" customFormat="false" ht="26.8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</row>
    <row r="4" customFormat="false" ht="45" hidden="false" customHeight="tru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</row>
    <row r="5" customFormat="false" ht="45" hidden="false" customHeight="tru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</row>
    <row r="6" customFormat="false" ht="45" hidden="false" customHeight="tru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</row>
    <row r="7" customFormat="false" ht="45" hidden="false" customHeight="tru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</row>
    <row r="9" customFormat="false" ht="15" hidden="false" customHeight="false" outlineLevel="0" collapsed="false">
      <c r="A9" s="7" t="s">
        <v>43</v>
      </c>
      <c r="B9" s="7"/>
      <c r="C9" s="7"/>
      <c r="D9" s="7"/>
      <c r="E9" s="7"/>
    </row>
  </sheetData>
  <mergeCells count="2">
    <mergeCell ref="A1:E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6"/>
    <col collapsed="false" customWidth="true" hidden="false" outlineLevel="0" max="6" min="4" style="0" width="18"/>
  </cols>
  <sheetData>
    <row r="1" customFormat="false" ht="16.15" hidden="false" customHeight="false" outlineLevel="0" collapsed="false">
      <c r="A1" s="5" t="s">
        <v>44</v>
      </c>
      <c r="B1" s="5"/>
      <c r="C1" s="5"/>
      <c r="D1" s="5"/>
      <c r="E1" s="5"/>
      <c r="F1" s="5"/>
    </row>
    <row r="2" customFormat="false" ht="45" hidden="false" customHeight="true" outlineLevel="0" collapsed="false">
      <c r="A2" s="8" t="s">
        <v>45</v>
      </c>
      <c r="B2" s="8"/>
      <c r="C2" s="8"/>
      <c r="D2" s="8"/>
      <c r="E2" s="8"/>
      <c r="F2" s="8"/>
    </row>
    <row r="4" customFormat="false" ht="39.55" hidden="false" customHeight="false" outlineLevel="0" collapsed="false">
      <c r="A4" s="6" t="s">
        <v>46</v>
      </c>
      <c r="B4" s="6" t="s">
        <v>47</v>
      </c>
      <c r="C4" s="6" t="s">
        <v>48</v>
      </c>
      <c r="D4" s="6" t="s">
        <v>49</v>
      </c>
      <c r="E4" s="6" t="s">
        <v>50</v>
      </c>
      <c r="F4" s="6" t="s">
        <v>51</v>
      </c>
    </row>
    <row r="5" customFormat="false" ht="39.75" hidden="false" customHeight="true" outlineLevel="0" collapsed="false">
      <c r="A5" s="9" t="s">
        <v>52</v>
      </c>
      <c r="B5" s="2" t="s">
        <v>53</v>
      </c>
      <c r="C5" s="2" t="s">
        <v>54</v>
      </c>
      <c r="D5" s="10" t="n">
        <v>2.7</v>
      </c>
      <c r="E5" s="10" t="n">
        <v>5.2</v>
      </c>
      <c r="F5" s="10" t="n">
        <v>4.3</v>
      </c>
    </row>
    <row r="6" customFormat="false" ht="39.75" hidden="false" customHeight="true" outlineLevel="0" collapsed="false">
      <c r="A6" s="9" t="s">
        <v>55</v>
      </c>
      <c r="B6" s="2" t="s">
        <v>56</v>
      </c>
      <c r="C6" s="2" t="s">
        <v>57</v>
      </c>
      <c r="D6" s="10" t="n">
        <v>3</v>
      </c>
      <c r="E6" s="10" t="n">
        <v>6</v>
      </c>
      <c r="F6" s="10" t="n">
        <v>5</v>
      </c>
    </row>
    <row r="7" customFormat="false" ht="39.75" hidden="false" customHeight="true" outlineLevel="0" collapsed="false">
      <c r="A7" s="9" t="s">
        <v>58</v>
      </c>
      <c r="B7" s="2" t="s">
        <v>59</v>
      </c>
      <c r="C7" s="2" t="s">
        <v>60</v>
      </c>
      <c r="D7" s="10" t="n">
        <v>3.6</v>
      </c>
      <c r="E7" s="10" t="n">
        <v>7.5</v>
      </c>
      <c r="F7" s="10" t="n">
        <v>6.3</v>
      </c>
    </row>
    <row r="8" customFormat="false" ht="39.75" hidden="false" customHeight="true" outlineLevel="0" collapsed="false">
      <c r="A8" s="9" t="s">
        <v>61</v>
      </c>
      <c r="B8" s="2" t="s">
        <v>62</v>
      </c>
      <c r="C8" s="2" t="s">
        <v>63</v>
      </c>
      <c r="D8" s="10" t="n">
        <v>3</v>
      </c>
      <c r="E8" s="10" t="n">
        <v>6.5</v>
      </c>
      <c r="F8" s="10" t="n">
        <v>5.4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42"/>
    <col collapsed="false" customWidth="true" hidden="false" outlineLevel="0" max="11" min="11" style="0" width="55"/>
  </cols>
  <sheetData>
    <row r="1" customFormat="false" ht="16.15" hidden="false" customHeight="false" outlineLevel="0" collapsed="false">
      <c r="A1" s="5" t="s">
        <v>64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30" hidden="false" customHeight="true" outlineLevel="0" collapsed="false">
      <c r="A2" s="11" t="s">
        <v>65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customFormat="false" ht="52.2" hidden="false" customHeight="false" outlineLevel="0" collapsed="false">
      <c r="A4" s="6" t="s">
        <v>66</v>
      </c>
      <c r="B4" s="6" t="s">
        <v>67</v>
      </c>
      <c r="C4" s="6" t="s">
        <v>46</v>
      </c>
      <c r="D4" s="6" t="s">
        <v>68</v>
      </c>
      <c r="E4" s="6" t="s">
        <v>69</v>
      </c>
      <c r="F4" s="6" t="s">
        <v>70</v>
      </c>
      <c r="G4" s="6" t="s">
        <v>71</v>
      </c>
      <c r="H4" s="6" t="s">
        <v>72</v>
      </c>
      <c r="I4" s="6" t="s">
        <v>73</v>
      </c>
      <c r="J4" s="6" t="s">
        <v>74</v>
      </c>
      <c r="K4" s="6" t="s">
        <v>22</v>
      </c>
    </row>
    <row r="5" customFormat="false" ht="30" hidden="false" customHeight="true" outlineLevel="0" collapsed="false">
      <c r="A5" s="12" t="s">
        <v>75</v>
      </c>
      <c r="B5" s="12" t="s">
        <v>23</v>
      </c>
      <c r="C5" s="12" t="s">
        <v>76</v>
      </c>
      <c r="D5" s="13" t="s">
        <v>77</v>
      </c>
      <c r="E5" s="12" t="s">
        <v>78</v>
      </c>
      <c r="F5" s="12" t="s">
        <v>78</v>
      </c>
      <c r="G5" s="12" t="s">
        <v>78</v>
      </c>
      <c r="H5" s="12" t="n">
        <v>263</v>
      </c>
      <c r="I5" s="14" t="n">
        <f aca="false">H5*10*0.42</f>
        <v>1104.6</v>
      </c>
      <c r="J5" s="12" t="s">
        <v>79</v>
      </c>
      <c r="K5" s="15" t="s">
        <v>80</v>
      </c>
    </row>
    <row r="6" customFormat="false" ht="30" hidden="false" customHeight="true" outlineLevel="0" collapsed="false">
      <c r="A6" s="12" t="s">
        <v>81</v>
      </c>
      <c r="B6" s="12" t="s">
        <v>23</v>
      </c>
      <c r="C6" s="12" t="s">
        <v>76</v>
      </c>
      <c r="D6" s="13" t="s">
        <v>77</v>
      </c>
      <c r="E6" s="12" t="s">
        <v>78</v>
      </c>
      <c r="F6" s="12" t="s">
        <v>78</v>
      </c>
      <c r="G6" s="12" t="s">
        <v>78</v>
      </c>
      <c r="H6" s="12" t="n">
        <v>267</v>
      </c>
      <c r="I6" s="14" t="n">
        <f aca="false">H6*10*0.42</f>
        <v>1121.4</v>
      </c>
      <c r="J6" s="12" t="s">
        <v>79</v>
      </c>
      <c r="K6" s="15" t="s">
        <v>80</v>
      </c>
    </row>
    <row r="7" customFormat="false" ht="30" hidden="false" customHeight="true" outlineLevel="0" collapsed="false">
      <c r="A7" s="12" t="s">
        <v>81</v>
      </c>
      <c r="B7" s="12" t="s">
        <v>23</v>
      </c>
      <c r="C7" s="12" t="s">
        <v>82</v>
      </c>
      <c r="D7" s="13" t="s">
        <v>77</v>
      </c>
      <c r="E7" s="12" t="s">
        <v>78</v>
      </c>
      <c r="F7" s="12" t="s">
        <v>78</v>
      </c>
      <c r="G7" s="12" t="s">
        <v>78</v>
      </c>
      <c r="H7" s="12" t="n">
        <v>283</v>
      </c>
      <c r="I7" s="14" t="n">
        <f aca="false">H7*10*0.42</f>
        <v>1188.6</v>
      </c>
      <c r="J7" s="12" t="s">
        <v>79</v>
      </c>
      <c r="K7" s="15" t="s">
        <v>80</v>
      </c>
    </row>
    <row r="8" customFormat="false" ht="30" hidden="false" customHeight="true" outlineLevel="0" collapsed="false">
      <c r="A8" s="12" t="s">
        <v>83</v>
      </c>
      <c r="B8" s="12" t="s">
        <v>23</v>
      </c>
      <c r="C8" s="12" t="s">
        <v>76</v>
      </c>
      <c r="D8" s="13" t="s">
        <v>77</v>
      </c>
      <c r="E8" s="12" t="s">
        <v>78</v>
      </c>
      <c r="F8" s="12" t="s">
        <v>78</v>
      </c>
      <c r="G8" s="12" t="s">
        <v>78</v>
      </c>
      <c r="H8" s="12" t="n">
        <v>702</v>
      </c>
      <c r="I8" s="14" t="n">
        <f aca="false">H8*10*0.42</f>
        <v>2948.4</v>
      </c>
      <c r="J8" s="12" t="s">
        <v>79</v>
      </c>
      <c r="K8" s="15" t="s">
        <v>80</v>
      </c>
    </row>
    <row r="9" customFormat="false" ht="30" hidden="false" customHeight="true" outlineLevel="0" collapsed="false">
      <c r="A9" s="12" t="s">
        <v>83</v>
      </c>
      <c r="B9" s="12" t="s">
        <v>23</v>
      </c>
      <c r="C9" s="12" t="s">
        <v>82</v>
      </c>
      <c r="D9" s="13" t="s">
        <v>77</v>
      </c>
      <c r="E9" s="12" t="s">
        <v>78</v>
      </c>
      <c r="F9" s="12" t="s">
        <v>78</v>
      </c>
      <c r="G9" s="12" t="s">
        <v>78</v>
      </c>
      <c r="H9" s="12" t="n">
        <v>612</v>
      </c>
      <c r="I9" s="14" t="n">
        <f aca="false">H9*10*0.42</f>
        <v>2570.4</v>
      </c>
      <c r="J9" s="12" t="s">
        <v>79</v>
      </c>
      <c r="K9" s="15" t="s">
        <v>80</v>
      </c>
    </row>
    <row r="10" customFormat="false" ht="30" hidden="false" customHeight="true" outlineLevel="0" collapsed="false">
      <c r="A10" s="12" t="s">
        <v>84</v>
      </c>
      <c r="B10" s="12" t="s">
        <v>23</v>
      </c>
      <c r="C10" s="12" t="s">
        <v>76</v>
      </c>
      <c r="D10" s="13" t="s">
        <v>77</v>
      </c>
      <c r="E10" s="12" t="s">
        <v>78</v>
      </c>
      <c r="F10" s="12" t="s">
        <v>78</v>
      </c>
      <c r="G10" s="12" t="s">
        <v>78</v>
      </c>
      <c r="H10" s="12" t="n">
        <v>448</v>
      </c>
      <c r="I10" s="14" t="n">
        <f aca="false">H10*10*0.42</f>
        <v>1881.6</v>
      </c>
      <c r="J10" s="12" t="s">
        <v>79</v>
      </c>
      <c r="K10" s="15" t="s">
        <v>80</v>
      </c>
    </row>
    <row r="11" customFormat="false" ht="30" hidden="false" customHeight="true" outlineLevel="0" collapsed="false">
      <c r="A11" s="12" t="s">
        <v>84</v>
      </c>
      <c r="B11" s="12" t="s">
        <v>28</v>
      </c>
      <c r="C11" s="12" t="s">
        <v>82</v>
      </c>
      <c r="D11" s="13" t="s">
        <v>77</v>
      </c>
      <c r="E11" s="12" t="s">
        <v>78</v>
      </c>
      <c r="F11" s="12" t="s">
        <v>78</v>
      </c>
      <c r="G11" s="12" t="s">
        <v>78</v>
      </c>
      <c r="H11" s="12" t="n">
        <v>711</v>
      </c>
      <c r="I11" s="14" t="n">
        <f aca="false">H11*10*0.42</f>
        <v>2986.2</v>
      </c>
      <c r="J11" s="12" t="s">
        <v>79</v>
      </c>
      <c r="K11" s="15" t="s">
        <v>80</v>
      </c>
    </row>
    <row r="12" customFormat="false" ht="30" hidden="false" customHeight="true" outlineLevel="0" collapsed="false">
      <c r="A12" s="12" t="s">
        <v>84</v>
      </c>
      <c r="B12" s="12" t="s">
        <v>28</v>
      </c>
      <c r="C12" s="12" t="s">
        <v>76</v>
      </c>
      <c r="D12" s="13" t="s">
        <v>77</v>
      </c>
      <c r="E12" s="12" t="s">
        <v>78</v>
      </c>
      <c r="F12" s="12" t="s">
        <v>78</v>
      </c>
      <c r="G12" s="12" t="s">
        <v>78</v>
      </c>
      <c r="H12" s="12" t="n">
        <v>884</v>
      </c>
      <c r="I12" s="14" t="n">
        <f aca="false">H12*10*0.42</f>
        <v>3712.8</v>
      </c>
      <c r="J12" s="12" t="s">
        <v>79</v>
      </c>
      <c r="K12" s="15" t="s">
        <v>80</v>
      </c>
    </row>
    <row r="13" customFormat="false" ht="30" hidden="false" customHeight="true" outlineLevel="0" collapsed="false">
      <c r="A13" s="12" t="s">
        <v>85</v>
      </c>
      <c r="B13" s="12" t="s">
        <v>28</v>
      </c>
      <c r="C13" s="12" t="s">
        <v>82</v>
      </c>
      <c r="D13" s="13" t="s">
        <v>77</v>
      </c>
      <c r="E13" s="12" t="s">
        <v>78</v>
      </c>
      <c r="F13" s="12" t="s">
        <v>78</v>
      </c>
      <c r="G13" s="12" t="s">
        <v>78</v>
      </c>
      <c r="H13" s="12" t="n">
        <v>884</v>
      </c>
      <c r="I13" s="14" t="n">
        <f aca="false">H13*10*0.42</f>
        <v>3712.8</v>
      </c>
      <c r="J13" s="12" t="s">
        <v>79</v>
      </c>
      <c r="K13" s="15" t="s">
        <v>80</v>
      </c>
    </row>
    <row r="14" customFormat="false" ht="30" hidden="false" customHeight="true" outlineLevel="0" collapsed="false">
      <c r="A14" s="12" t="s">
        <v>85</v>
      </c>
      <c r="B14" s="12" t="s">
        <v>28</v>
      </c>
      <c r="C14" s="12" t="s">
        <v>86</v>
      </c>
      <c r="D14" s="13" t="s">
        <v>77</v>
      </c>
      <c r="E14" s="12" t="s">
        <v>78</v>
      </c>
      <c r="F14" s="12" t="s">
        <v>78</v>
      </c>
      <c r="G14" s="12" t="s">
        <v>78</v>
      </c>
      <c r="H14" s="12" t="n">
        <v>901</v>
      </c>
      <c r="I14" s="14" t="n">
        <f aca="false">H14*10*0.42</f>
        <v>3784.2</v>
      </c>
      <c r="J14" s="12" t="s">
        <v>87</v>
      </c>
      <c r="K14" s="15" t="s">
        <v>80</v>
      </c>
    </row>
    <row r="15" customFormat="false" ht="30" hidden="false" customHeight="true" outlineLevel="0" collapsed="false">
      <c r="A15" s="12" t="s">
        <v>85</v>
      </c>
      <c r="B15" s="12" t="s">
        <v>28</v>
      </c>
      <c r="C15" s="12" t="s">
        <v>76</v>
      </c>
      <c r="D15" s="13" t="s">
        <v>77</v>
      </c>
      <c r="E15" s="12" t="s">
        <v>78</v>
      </c>
      <c r="F15" s="12" t="s">
        <v>78</v>
      </c>
      <c r="G15" s="12" t="s">
        <v>78</v>
      </c>
      <c r="H15" s="12" t="n">
        <v>1107</v>
      </c>
      <c r="I15" s="14" t="n">
        <f aca="false">H15*10*0.42</f>
        <v>4649.4</v>
      </c>
      <c r="J15" s="12" t="s">
        <v>79</v>
      </c>
      <c r="K15" s="15" t="s">
        <v>80</v>
      </c>
    </row>
    <row r="16" customFormat="false" ht="30" hidden="false" customHeight="true" outlineLevel="0" collapsed="false">
      <c r="A16" s="12" t="s">
        <v>88</v>
      </c>
      <c r="B16" s="12" t="s">
        <v>28</v>
      </c>
      <c r="C16" s="12" t="s">
        <v>82</v>
      </c>
      <c r="D16" s="13" t="s">
        <v>77</v>
      </c>
      <c r="E16" s="12" t="s">
        <v>78</v>
      </c>
      <c r="F16" s="12" t="s">
        <v>78</v>
      </c>
      <c r="G16" s="12" t="s">
        <v>78</v>
      </c>
      <c r="H16" s="12" t="n">
        <v>576</v>
      </c>
      <c r="I16" s="14" t="n">
        <f aca="false">H16*10*0.42</f>
        <v>2419.2</v>
      </c>
      <c r="J16" s="12" t="s">
        <v>79</v>
      </c>
      <c r="K16" s="15" t="s">
        <v>80</v>
      </c>
    </row>
    <row r="17" customFormat="false" ht="30" hidden="false" customHeight="true" outlineLevel="0" collapsed="false">
      <c r="A17" s="12" t="s">
        <v>88</v>
      </c>
      <c r="B17" s="12" t="s">
        <v>28</v>
      </c>
      <c r="C17" s="12" t="s">
        <v>76</v>
      </c>
      <c r="D17" s="13" t="s">
        <v>77</v>
      </c>
      <c r="E17" s="12" t="s">
        <v>78</v>
      </c>
      <c r="F17" s="12" t="s">
        <v>78</v>
      </c>
      <c r="G17" s="12" t="s">
        <v>78</v>
      </c>
      <c r="H17" s="12" t="n">
        <v>810</v>
      </c>
      <c r="I17" s="14" t="n">
        <f aca="false">H17*10*0.42</f>
        <v>3402</v>
      </c>
      <c r="J17" s="12" t="s">
        <v>79</v>
      </c>
      <c r="K17" s="15" t="s">
        <v>80</v>
      </c>
    </row>
    <row r="18" customFormat="false" ht="30" hidden="false" customHeight="true" outlineLevel="0" collapsed="false">
      <c r="A18" s="12" t="s">
        <v>89</v>
      </c>
      <c r="B18" s="12" t="s">
        <v>23</v>
      </c>
      <c r="C18" s="12" t="s">
        <v>82</v>
      </c>
      <c r="D18" s="13" t="s">
        <v>77</v>
      </c>
      <c r="E18" s="12" t="s">
        <v>78</v>
      </c>
      <c r="F18" s="12" t="s">
        <v>78</v>
      </c>
      <c r="G18" s="12" t="s">
        <v>78</v>
      </c>
      <c r="H18" s="12" t="n">
        <v>506</v>
      </c>
      <c r="I18" s="14" t="n">
        <f aca="false">H18*10*0.42</f>
        <v>2125.2</v>
      </c>
      <c r="J18" s="12" t="s">
        <v>79</v>
      </c>
      <c r="K18" s="15" t="s">
        <v>80</v>
      </c>
    </row>
    <row r="19" customFormat="false" ht="30" hidden="false" customHeight="true" outlineLevel="0" collapsed="false">
      <c r="A19" s="12" t="s">
        <v>89</v>
      </c>
      <c r="B19" s="12" t="s">
        <v>23</v>
      </c>
      <c r="C19" s="12" t="s">
        <v>76</v>
      </c>
      <c r="D19" s="13" t="s">
        <v>77</v>
      </c>
      <c r="E19" s="12" t="s">
        <v>78</v>
      </c>
      <c r="F19" s="12" t="s">
        <v>78</v>
      </c>
      <c r="G19" s="12" t="s">
        <v>78</v>
      </c>
      <c r="H19" s="12" t="n">
        <v>560</v>
      </c>
      <c r="I19" s="14" t="n">
        <f aca="false">H19*10*0.42</f>
        <v>2352</v>
      </c>
      <c r="J19" s="12" t="s">
        <v>79</v>
      </c>
      <c r="K19" s="15" t="s">
        <v>80</v>
      </c>
    </row>
    <row r="20" customFormat="false" ht="30" hidden="false" customHeight="true" outlineLevel="0" collapsed="false">
      <c r="A20" s="12" t="s">
        <v>90</v>
      </c>
      <c r="B20" s="12" t="s">
        <v>23</v>
      </c>
      <c r="C20" s="12" t="s">
        <v>76</v>
      </c>
      <c r="D20" s="13" t="s">
        <v>77</v>
      </c>
      <c r="E20" s="12" t="s">
        <v>78</v>
      </c>
      <c r="F20" s="12" t="s">
        <v>78</v>
      </c>
      <c r="G20" s="12" t="s">
        <v>78</v>
      </c>
      <c r="H20" s="12" t="n">
        <v>211</v>
      </c>
      <c r="I20" s="14" t="n">
        <f aca="false">H20*10*0.42</f>
        <v>886.2</v>
      </c>
      <c r="J20" s="12" t="s">
        <v>79</v>
      </c>
      <c r="K20" s="15" t="s">
        <v>80</v>
      </c>
    </row>
    <row r="21" customFormat="false" ht="30" hidden="false" customHeight="true" outlineLevel="0" collapsed="false">
      <c r="A21" s="16" t="s">
        <v>75</v>
      </c>
      <c r="B21" s="16" t="s">
        <v>23</v>
      </c>
      <c r="C21" s="16" t="s">
        <v>52</v>
      </c>
      <c r="D21" s="17" t="s">
        <v>91</v>
      </c>
      <c r="E21" s="18" t="n">
        <f aca="false">INDEX(Zone_ETo_Assumptions!D5:D8,MATCH("Delta",Zone_ETo_Assumptions!$A$5:$A$8,0))</f>
        <v>2.7</v>
      </c>
      <c r="F21" s="19" t="n">
        <f aca="false">SUMPRODUCT((Kc_Values!$A$2:$A$75="Wheat")*(Kc_Values!$B$2:$B$75="mid_season")*Kc_Values!$E$2:$E$75)</f>
        <v>1.15</v>
      </c>
      <c r="G21" s="16" t="n">
        <v>145</v>
      </c>
      <c r="H21" s="20" t="n">
        <f aca="false">E21*F21*G21</f>
        <v>450.225</v>
      </c>
      <c r="I21" s="20" t="n">
        <f aca="false">H21*10*0.42</f>
        <v>1890.945</v>
      </c>
      <c r="J21" s="16" t="s">
        <v>92</v>
      </c>
      <c r="K21" s="21" t="s">
        <v>93</v>
      </c>
    </row>
    <row r="22" customFormat="false" ht="30" hidden="false" customHeight="true" outlineLevel="0" collapsed="false">
      <c r="A22" s="16" t="s">
        <v>75</v>
      </c>
      <c r="B22" s="16" t="s">
        <v>23</v>
      </c>
      <c r="C22" s="16" t="s">
        <v>55</v>
      </c>
      <c r="D22" s="17" t="s">
        <v>91</v>
      </c>
      <c r="E22" s="18" t="n">
        <f aca="false">INDEX(Zone_ETo_Assumptions!D5:D8,MATCH("Middle Egypt",Zone_ETo_Assumptions!$A$5:$A$8,0))</f>
        <v>3</v>
      </c>
      <c r="F22" s="19" t="n">
        <f aca="false">SUMPRODUCT((Kc_Values!$A$2:$A$75="Wheat")*(Kc_Values!$B$2:$B$75="mid_season")*Kc_Values!$E$2:$E$75)</f>
        <v>1.15</v>
      </c>
      <c r="G22" s="16" t="n">
        <v>145</v>
      </c>
      <c r="H22" s="20" t="n">
        <f aca="false">E22*F22*G22</f>
        <v>500.25</v>
      </c>
      <c r="I22" s="20" t="n">
        <f aca="false">H22*10*0.42</f>
        <v>2101.05</v>
      </c>
      <c r="J22" s="16" t="s">
        <v>92</v>
      </c>
      <c r="K22" s="21" t="s">
        <v>93</v>
      </c>
    </row>
    <row r="23" customFormat="false" ht="30" hidden="false" customHeight="true" outlineLevel="0" collapsed="false">
      <c r="A23" s="16" t="s">
        <v>75</v>
      </c>
      <c r="B23" s="16" t="s">
        <v>23</v>
      </c>
      <c r="C23" s="16" t="s">
        <v>58</v>
      </c>
      <c r="D23" s="17" t="s">
        <v>91</v>
      </c>
      <c r="E23" s="18" t="n">
        <f aca="false">INDEX(Zone_ETo_Assumptions!D5:D8,MATCH("Upper Egypt",Zone_ETo_Assumptions!$A$5:$A$8,0))</f>
        <v>3.6</v>
      </c>
      <c r="F23" s="19" t="n">
        <f aca="false">SUMPRODUCT((Kc_Values!$A$2:$A$75="Wheat")*(Kc_Values!$B$2:$B$75="mid_season")*Kc_Values!$E$2:$E$75)</f>
        <v>1.15</v>
      </c>
      <c r="G23" s="16" t="n">
        <v>145</v>
      </c>
      <c r="H23" s="20" t="n">
        <f aca="false">E23*F23*G23</f>
        <v>600.3</v>
      </c>
      <c r="I23" s="20" t="n">
        <f aca="false">H23*10*0.42</f>
        <v>2521.26</v>
      </c>
      <c r="J23" s="16" t="s">
        <v>92</v>
      </c>
      <c r="K23" s="21" t="s">
        <v>93</v>
      </c>
    </row>
    <row r="24" customFormat="false" ht="30" hidden="false" customHeight="true" outlineLevel="0" collapsed="false">
      <c r="A24" s="16" t="s">
        <v>75</v>
      </c>
      <c r="B24" s="16" t="s">
        <v>23</v>
      </c>
      <c r="C24" s="16" t="s">
        <v>61</v>
      </c>
      <c r="D24" s="17" t="s">
        <v>91</v>
      </c>
      <c r="E24" s="18" t="n">
        <f aca="false">INDEX(Zone_ETo_Assumptions!D5:D8,MATCH("Sinai / Reclaimed Lands",Zone_ETo_Assumptions!$A$5:$A$8,0))</f>
        <v>3</v>
      </c>
      <c r="F24" s="19" t="n">
        <f aca="false">SUMPRODUCT((Kc_Values!$A$2:$A$75="Wheat")*(Kc_Values!$B$2:$B$75="mid_season")*Kc_Values!$E$2:$E$75)</f>
        <v>1.15</v>
      </c>
      <c r="G24" s="16" t="n">
        <v>145</v>
      </c>
      <c r="H24" s="20" t="n">
        <f aca="false">E24*F24*G24</f>
        <v>500.25</v>
      </c>
      <c r="I24" s="20" t="n">
        <f aca="false">H24*10*0.42</f>
        <v>2101.05</v>
      </c>
      <c r="J24" s="16" t="s">
        <v>92</v>
      </c>
      <c r="K24" s="21" t="s">
        <v>93</v>
      </c>
    </row>
    <row r="25" customFormat="false" ht="30" hidden="false" customHeight="true" outlineLevel="0" collapsed="false">
      <c r="A25" s="16" t="s">
        <v>94</v>
      </c>
      <c r="B25" s="16" t="s">
        <v>23</v>
      </c>
      <c r="C25" s="16" t="s">
        <v>52</v>
      </c>
      <c r="D25" s="17" t="s">
        <v>91</v>
      </c>
      <c r="E25" s="18" t="n">
        <f aca="false">INDEX(Zone_ETo_Assumptions!D5:D8,MATCH("Delta",Zone_ETo_Assumptions!$A$5:$A$8,0))</f>
        <v>2.7</v>
      </c>
      <c r="F25" s="19" t="n">
        <f aca="false">SUMPRODUCT((Kc_Values!$A$2:$A$75="Beans (dry) / Pulses")*(Kc_Values!$B$2:$B$75="mid_season")*Kc_Values!$E$2:$E$75)</f>
        <v>1.15</v>
      </c>
      <c r="G25" s="16" t="n">
        <v>110</v>
      </c>
      <c r="H25" s="20" t="n">
        <f aca="false">E25*F25*G25</f>
        <v>341.55</v>
      </c>
      <c r="I25" s="20" t="n">
        <f aca="false">H25*10*0.42</f>
        <v>1434.51</v>
      </c>
      <c r="J25" s="16" t="s">
        <v>92</v>
      </c>
      <c r="K25" s="21" t="s">
        <v>93</v>
      </c>
    </row>
    <row r="26" customFormat="false" ht="30" hidden="false" customHeight="true" outlineLevel="0" collapsed="false">
      <c r="A26" s="16" t="s">
        <v>94</v>
      </c>
      <c r="B26" s="16" t="s">
        <v>23</v>
      </c>
      <c r="C26" s="16" t="s">
        <v>55</v>
      </c>
      <c r="D26" s="17" t="s">
        <v>91</v>
      </c>
      <c r="E26" s="18" t="n">
        <f aca="false">INDEX(Zone_ETo_Assumptions!D5:D8,MATCH("Middle Egypt",Zone_ETo_Assumptions!$A$5:$A$8,0))</f>
        <v>3</v>
      </c>
      <c r="F26" s="19" t="n">
        <f aca="false">SUMPRODUCT((Kc_Values!$A$2:$A$75="Beans (dry) / Pulses")*(Kc_Values!$B$2:$B$75="mid_season")*Kc_Values!$E$2:$E$75)</f>
        <v>1.15</v>
      </c>
      <c r="G26" s="16" t="n">
        <v>110</v>
      </c>
      <c r="H26" s="20" t="n">
        <f aca="false">E26*F26*G26</f>
        <v>379.5</v>
      </c>
      <c r="I26" s="20" t="n">
        <f aca="false">H26*10*0.42</f>
        <v>1593.9</v>
      </c>
      <c r="J26" s="16" t="s">
        <v>92</v>
      </c>
      <c r="K26" s="21" t="s">
        <v>93</v>
      </c>
    </row>
    <row r="27" customFormat="false" ht="30" hidden="false" customHeight="true" outlineLevel="0" collapsed="false">
      <c r="A27" s="16" t="s">
        <v>94</v>
      </c>
      <c r="B27" s="16" t="s">
        <v>23</v>
      </c>
      <c r="C27" s="16" t="s">
        <v>58</v>
      </c>
      <c r="D27" s="17" t="s">
        <v>91</v>
      </c>
      <c r="E27" s="18" t="n">
        <f aca="false">INDEX(Zone_ETo_Assumptions!D5:D8,MATCH("Upper Egypt",Zone_ETo_Assumptions!$A$5:$A$8,0))</f>
        <v>3.6</v>
      </c>
      <c r="F27" s="19" t="n">
        <f aca="false">SUMPRODUCT((Kc_Values!$A$2:$A$75="Beans (dry) / Pulses")*(Kc_Values!$B$2:$B$75="mid_season")*Kc_Values!$E$2:$E$75)</f>
        <v>1.15</v>
      </c>
      <c r="G27" s="16" t="n">
        <v>110</v>
      </c>
      <c r="H27" s="20" t="n">
        <f aca="false">E27*F27*G27</f>
        <v>455.4</v>
      </c>
      <c r="I27" s="20" t="n">
        <f aca="false">H27*10*0.42</f>
        <v>1912.68</v>
      </c>
      <c r="J27" s="16" t="s">
        <v>92</v>
      </c>
      <c r="K27" s="21" t="s">
        <v>93</v>
      </c>
    </row>
    <row r="28" customFormat="false" ht="30" hidden="false" customHeight="true" outlineLevel="0" collapsed="false">
      <c r="A28" s="16" t="s">
        <v>94</v>
      </c>
      <c r="B28" s="16" t="s">
        <v>23</v>
      </c>
      <c r="C28" s="16" t="s">
        <v>61</v>
      </c>
      <c r="D28" s="17" t="s">
        <v>91</v>
      </c>
      <c r="E28" s="18" t="n">
        <f aca="false">INDEX(Zone_ETo_Assumptions!D5:D8,MATCH("Sinai / Reclaimed Lands",Zone_ETo_Assumptions!$A$5:$A$8,0))</f>
        <v>3</v>
      </c>
      <c r="F28" s="19" t="n">
        <f aca="false">SUMPRODUCT((Kc_Values!$A$2:$A$75="Beans (dry) / Pulses")*(Kc_Values!$B$2:$B$75="mid_season")*Kc_Values!$E$2:$E$75)</f>
        <v>1.15</v>
      </c>
      <c r="G28" s="16" t="n">
        <v>110</v>
      </c>
      <c r="H28" s="20" t="n">
        <f aca="false">E28*F28*G28</f>
        <v>379.5</v>
      </c>
      <c r="I28" s="20" t="n">
        <f aca="false">H28*10*0.42</f>
        <v>1593.9</v>
      </c>
      <c r="J28" s="16" t="s">
        <v>92</v>
      </c>
      <c r="K28" s="21" t="s">
        <v>93</v>
      </c>
    </row>
    <row r="29" customFormat="false" ht="30" hidden="false" customHeight="true" outlineLevel="0" collapsed="false">
      <c r="A29" s="16" t="s">
        <v>95</v>
      </c>
      <c r="B29" s="16" t="s">
        <v>23</v>
      </c>
      <c r="C29" s="16" t="s">
        <v>52</v>
      </c>
      <c r="D29" s="17" t="s">
        <v>91</v>
      </c>
      <c r="E29" s="18" t="n">
        <f aca="false">INDEX(Zone_ETo_Assumptions!D5:D8,MATCH("Delta",Zone_ETo_Assumptions!$A$5:$A$8,0))</f>
        <v>2.7</v>
      </c>
      <c r="F29" s="19" t="n">
        <f aca="false">SUMPRODUCT((Kc_Values!$A$2:$A$75="Sugarbeet")*(Kc_Values!$B$2:$B$75="mid_season")*Kc_Values!$E$2:$E$75)</f>
        <v>1.15</v>
      </c>
      <c r="G29" s="16" t="n">
        <v>180</v>
      </c>
      <c r="H29" s="20" t="n">
        <f aca="false">E29*F29*G29</f>
        <v>558.9</v>
      </c>
      <c r="I29" s="20" t="n">
        <f aca="false">H29*10*0.42</f>
        <v>2347.38</v>
      </c>
      <c r="J29" s="16" t="s">
        <v>92</v>
      </c>
      <c r="K29" s="21" t="s">
        <v>93</v>
      </c>
    </row>
    <row r="30" customFormat="false" ht="30" hidden="false" customHeight="true" outlineLevel="0" collapsed="false">
      <c r="A30" s="16" t="s">
        <v>95</v>
      </c>
      <c r="B30" s="16" t="s">
        <v>23</v>
      </c>
      <c r="C30" s="16" t="s">
        <v>55</v>
      </c>
      <c r="D30" s="17" t="s">
        <v>91</v>
      </c>
      <c r="E30" s="18" t="n">
        <f aca="false">INDEX(Zone_ETo_Assumptions!D5:D8,MATCH("Middle Egypt",Zone_ETo_Assumptions!$A$5:$A$8,0))</f>
        <v>3</v>
      </c>
      <c r="F30" s="19" t="n">
        <f aca="false">SUMPRODUCT((Kc_Values!$A$2:$A$75="Sugarbeet")*(Kc_Values!$B$2:$B$75="mid_season")*Kc_Values!$E$2:$E$75)</f>
        <v>1.15</v>
      </c>
      <c r="G30" s="16" t="n">
        <v>180</v>
      </c>
      <c r="H30" s="20" t="n">
        <f aca="false">E30*F30*G30</f>
        <v>621</v>
      </c>
      <c r="I30" s="20" t="n">
        <f aca="false">H30*10*0.42</f>
        <v>2608.2</v>
      </c>
      <c r="J30" s="16" t="s">
        <v>92</v>
      </c>
      <c r="K30" s="21" t="s">
        <v>93</v>
      </c>
    </row>
    <row r="31" customFormat="false" ht="30" hidden="false" customHeight="true" outlineLevel="0" collapsed="false">
      <c r="A31" s="16" t="s">
        <v>95</v>
      </c>
      <c r="B31" s="16" t="s">
        <v>23</v>
      </c>
      <c r="C31" s="16" t="s">
        <v>58</v>
      </c>
      <c r="D31" s="17" t="s">
        <v>91</v>
      </c>
      <c r="E31" s="18" t="n">
        <f aca="false">INDEX(Zone_ETo_Assumptions!D5:D8,MATCH("Upper Egypt",Zone_ETo_Assumptions!$A$5:$A$8,0))</f>
        <v>3.6</v>
      </c>
      <c r="F31" s="19" t="n">
        <f aca="false">SUMPRODUCT((Kc_Values!$A$2:$A$75="Sugarbeet")*(Kc_Values!$B$2:$B$75="mid_season")*Kc_Values!$E$2:$E$75)</f>
        <v>1.15</v>
      </c>
      <c r="G31" s="16" t="n">
        <v>180</v>
      </c>
      <c r="H31" s="20" t="n">
        <f aca="false">E31*F31*G31</f>
        <v>745.2</v>
      </c>
      <c r="I31" s="20" t="n">
        <f aca="false">H31*10*0.42</f>
        <v>3129.84</v>
      </c>
      <c r="J31" s="16" t="s">
        <v>92</v>
      </c>
      <c r="K31" s="21" t="s">
        <v>93</v>
      </c>
    </row>
    <row r="32" customFormat="false" ht="30" hidden="false" customHeight="true" outlineLevel="0" collapsed="false">
      <c r="A32" s="16" t="s">
        <v>95</v>
      </c>
      <c r="B32" s="16" t="s">
        <v>23</v>
      </c>
      <c r="C32" s="16" t="s">
        <v>61</v>
      </c>
      <c r="D32" s="17" t="s">
        <v>91</v>
      </c>
      <c r="E32" s="18" t="n">
        <f aca="false">INDEX(Zone_ETo_Assumptions!D5:D8,MATCH("Sinai / Reclaimed Lands",Zone_ETo_Assumptions!$A$5:$A$8,0))</f>
        <v>3</v>
      </c>
      <c r="F32" s="19" t="n">
        <f aca="false">SUMPRODUCT((Kc_Values!$A$2:$A$75="Sugarbeet")*(Kc_Values!$B$2:$B$75="mid_season")*Kc_Values!$E$2:$E$75)</f>
        <v>1.15</v>
      </c>
      <c r="G32" s="16" t="n">
        <v>180</v>
      </c>
      <c r="H32" s="20" t="n">
        <f aca="false">E32*F32*G32</f>
        <v>621</v>
      </c>
      <c r="I32" s="20" t="n">
        <f aca="false">H32*10*0.42</f>
        <v>2608.2</v>
      </c>
      <c r="J32" s="16" t="s">
        <v>92</v>
      </c>
      <c r="K32" s="21" t="s">
        <v>93</v>
      </c>
    </row>
    <row r="33" customFormat="false" ht="30" hidden="false" customHeight="true" outlineLevel="0" collapsed="false">
      <c r="A33" s="16" t="s">
        <v>96</v>
      </c>
      <c r="B33" s="16" t="s">
        <v>23</v>
      </c>
      <c r="C33" s="16" t="s">
        <v>52</v>
      </c>
      <c r="D33" s="17" t="s">
        <v>91</v>
      </c>
      <c r="E33" s="18" t="n">
        <f aca="false">INDEX(Zone_ETo_Assumptions!D5:D8,MATCH("Delta",Zone_ETo_Assumptions!$A$5:$A$8,0))</f>
        <v>2.7</v>
      </c>
      <c r="F33" s="19" t="n">
        <f aca="false">SUMPRODUCT((Kc_Values!$A$2:$A$75="Onion (dry)")*(Kc_Values!$B$2:$B$75="mid_season")*Kc_Values!$E$2:$E$75)</f>
        <v>1.05</v>
      </c>
      <c r="G33" s="16" t="n">
        <v>150</v>
      </c>
      <c r="H33" s="20" t="n">
        <f aca="false">E33*F33*G33</f>
        <v>425.25</v>
      </c>
      <c r="I33" s="20" t="n">
        <f aca="false">H33*10*0.42</f>
        <v>1786.05</v>
      </c>
      <c r="J33" s="16" t="s">
        <v>92</v>
      </c>
      <c r="K33" s="21" t="s">
        <v>93</v>
      </c>
    </row>
    <row r="34" customFormat="false" ht="30" hidden="false" customHeight="true" outlineLevel="0" collapsed="false">
      <c r="A34" s="16" t="s">
        <v>96</v>
      </c>
      <c r="B34" s="16" t="s">
        <v>23</v>
      </c>
      <c r="C34" s="16" t="s">
        <v>55</v>
      </c>
      <c r="D34" s="17" t="s">
        <v>91</v>
      </c>
      <c r="E34" s="18" t="n">
        <f aca="false">INDEX(Zone_ETo_Assumptions!D5:D8,MATCH("Middle Egypt",Zone_ETo_Assumptions!$A$5:$A$8,0))</f>
        <v>3</v>
      </c>
      <c r="F34" s="19" t="n">
        <f aca="false">SUMPRODUCT((Kc_Values!$A$2:$A$75="Onion (dry)")*(Kc_Values!$B$2:$B$75="mid_season")*Kc_Values!$E$2:$E$75)</f>
        <v>1.05</v>
      </c>
      <c r="G34" s="16" t="n">
        <v>150</v>
      </c>
      <c r="H34" s="20" t="n">
        <f aca="false">E34*F34*G34</f>
        <v>472.5</v>
      </c>
      <c r="I34" s="20" t="n">
        <f aca="false">H34*10*0.42</f>
        <v>1984.5</v>
      </c>
      <c r="J34" s="16" t="s">
        <v>92</v>
      </c>
      <c r="K34" s="21" t="s">
        <v>93</v>
      </c>
    </row>
    <row r="35" customFormat="false" ht="30" hidden="false" customHeight="true" outlineLevel="0" collapsed="false">
      <c r="A35" s="16" t="s">
        <v>96</v>
      </c>
      <c r="B35" s="16" t="s">
        <v>23</v>
      </c>
      <c r="C35" s="16" t="s">
        <v>58</v>
      </c>
      <c r="D35" s="17" t="s">
        <v>91</v>
      </c>
      <c r="E35" s="18" t="n">
        <f aca="false">INDEX(Zone_ETo_Assumptions!D5:D8,MATCH("Upper Egypt",Zone_ETo_Assumptions!$A$5:$A$8,0))</f>
        <v>3.6</v>
      </c>
      <c r="F35" s="19" t="n">
        <f aca="false">SUMPRODUCT((Kc_Values!$A$2:$A$75="Onion (dry)")*(Kc_Values!$B$2:$B$75="mid_season")*Kc_Values!$E$2:$E$75)</f>
        <v>1.05</v>
      </c>
      <c r="G35" s="16" t="n">
        <v>150</v>
      </c>
      <c r="H35" s="20" t="n">
        <f aca="false">E35*F35*G35</f>
        <v>567</v>
      </c>
      <c r="I35" s="20" t="n">
        <f aca="false">H35*10*0.42</f>
        <v>2381.4</v>
      </c>
      <c r="J35" s="16" t="s">
        <v>92</v>
      </c>
      <c r="K35" s="21" t="s">
        <v>93</v>
      </c>
    </row>
    <row r="36" customFormat="false" ht="30" hidden="false" customHeight="true" outlineLevel="0" collapsed="false">
      <c r="A36" s="16" t="s">
        <v>96</v>
      </c>
      <c r="B36" s="16" t="s">
        <v>23</v>
      </c>
      <c r="C36" s="16" t="s">
        <v>61</v>
      </c>
      <c r="D36" s="17" t="s">
        <v>91</v>
      </c>
      <c r="E36" s="18" t="n">
        <f aca="false">INDEX(Zone_ETo_Assumptions!D5:D8,MATCH("Sinai / Reclaimed Lands",Zone_ETo_Assumptions!$A$5:$A$8,0))</f>
        <v>3</v>
      </c>
      <c r="F36" s="19" t="n">
        <f aca="false">SUMPRODUCT((Kc_Values!$A$2:$A$75="Onion (dry)")*(Kc_Values!$B$2:$B$75="mid_season")*Kc_Values!$E$2:$E$75)</f>
        <v>1.05</v>
      </c>
      <c r="G36" s="16" t="n">
        <v>150</v>
      </c>
      <c r="H36" s="20" t="n">
        <f aca="false">E36*F36*G36</f>
        <v>472.5</v>
      </c>
      <c r="I36" s="20" t="n">
        <f aca="false">H36*10*0.42</f>
        <v>1984.5</v>
      </c>
      <c r="J36" s="16" t="s">
        <v>92</v>
      </c>
      <c r="K36" s="21" t="s">
        <v>93</v>
      </c>
    </row>
    <row r="37" customFormat="false" ht="30" hidden="false" customHeight="true" outlineLevel="0" collapsed="false">
      <c r="A37" s="16" t="s">
        <v>85</v>
      </c>
      <c r="B37" s="16" t="s">
        <v>28</v>
      </c>
      <c r="C37" s="16" t="s">
        <v>52</v>
      </c>
      <c r="D37" s="17" t="s">
        <v>91</v>
      </c>
      <c r="E37" s="18" t="n">
        <f aca="false">INDEX(Zone_ETo_Assumptions!E5:E8,MATCH("Delta",Zone_ETo_Assumptions!$A$5:$A$8,0))</f>
        <v>5.2</v>
      </c>
      <c r="F37" s="19" t="n">
        <f aca="false">SUMPRODUCT((Kc_Values!$A$2:$A$75="Cotton")*(Kc_Values!$B$2:$B$75="mid_season")*Kc_Values!$E$2:$E$75)</f>
        <v>1.2</v>
      </c>
      <c r="G37" s="16" t="n">
        <v>195</v>
      </c>
      <c r="H37" s="20" t="n">
        <f aca="false">E37*F37*G37</f>
        <v>1216.8</v>
      </c>
      <c r="I37" s="20" t="n">
        <f aca="false">H37*10*0.42</f>
        <v>5110.56</v>
      </c>
      <c r="J37" s="16" t="s">
        <v>92</v>
      </c>
      <c r="K37" s="21" t="s">
        <v>93</v>
      </c>
    </row>
    <row r="38" customFormat="false" ht="30" hidden="false" customHeight="true" outlineLevel="0" collapsed="false">
      <c r="A38" s="16" t="s">
        <v>85</v>
      </c>
      <c r="B38" s="16" t="s">
        <v>28</v>
      </c>
      <c r="C38" s="16" t="s">
        <v>55</v>
      </c>
      <c r="D38" s="17" t="s">
        <v>91</v>
      </c>
      <c r="E38" s="18" t="n">
        <f aca="false">INDEX(Zone_ETo_Assumptions!E5:E8,MATCH("Middle Egypt",Zone_ETo_Assumptions!$A$5:$A$8,0))</f>
        <v>6</v>
      </c>
      <c r="F38" s="19" t="n">
        <f aca="false">SUMPRODUCT((Kc_Values!$A$2:$A$75="Cotton")*(Kc_Values!$B$2:$B$75="mid_season")*Kc_Values!$E$2:$E$75)</f>
        <v>1.2</v>
      </c>
      <c r="G38" s="16" t="n">
        <v>195</v>
      </c>
      <c r="H38" s="20" t="n">
        <f aca="false">E38*F38*G38</f>
        <v>1404</v>
      </c>
      <c r="I38" s="20" t="n">
        <f aca="false">H38*10*0.42</f>
        <v>5896.8</v>
      </c>
      <c r="J38" s="16" t="s">
        <v>92</v>
      </c>
      <c r="K38" s="21" t="s">
        <v>93</v>
      </c>
    </row>
    <row r="39" customFormat="false" ht="30" hidden="false" customHeight="true" outlineLevel="0" collapsed="false">
      <c r="A39" s="16" t="s">
        <v>85</v>
      </c>
      <c r="B39" s="16" t="s">
        <v>28</v>
      </c>
      <c r="C39" s="16" t="s">
        <v>58</v>
      </c>
      <c r="D39" s="17" t="s">
        <v>91</v>
      </c>
      <c r="E39" s="18" t="n">
        <f aca="false">INDEX(Zone_ETo_Assumptions!E5:E8,MATCH("Upper Egypt",Zone_ETo_Assumptions!$A$5:$A$8,0))</f>
        <v>7.5</v>
      </c>
      <c r="F39" s="19" t="n">
        <f aca="false">SUMPRODUCT((Kc_Values!$A$2:$A$75="Cotton")*(Kc_Values!$B$2:$B$75="mid_season")*Kc_Values!$E$2:$E$75)</f>
        <v>1.2</v>
      </c>
      <c r="G39" s="16" t="n">
        <v>195</v>
      </c>
      <c r="H39" s="20" t="n">
        <f aca="false">E39*F39*G39</f>
        <v>1755</v>
      </c>
      <c r="I39" s="20" t="n">
        <f aca="false">H39*10*0.42</f>
        <v>7371</v>
      </c>
      <c r="J39" s="16" t="s">
        <v>92</v>
      </c>
      <c r="K39" s="21" t="s">
        <v>93</v>
      </c>
    </row>
    <row r="40" customFormat="false" ht="30" hidden="false" customHeight="true" outlineLevel="0" collapsed="false">
      <c r="A40" s="16" t="s">
        <v>85</v>
      </c>
      <c r="B40" s="16" t="s">
        <v>28</v>
      </c>
      <c r="C40" s="16" t="s">
        <v>61</v>
      </c>
      <c r="D40" s="17" t="s">
        <v>91</v>
      </c>
      <c r="E40" s="18" t="n">
        <f aca="false">INDEX(Zone_ETo_Assumptions!E5:E8,MATCH("Sinai / Reclaimed Lands",Zone_ETo_Assumptions!$A$5:$A$8,0))</f>
        <v>6.5</v>
      </c>
      <c r="F40" s="19" t="n">
        <f aca="false">SUMPRODUCT((Kc_Values!$A$2:$A$75="Cotton")*(Kc_Values!$B$2:$B$75="mid_season")*Kc_Values!$E$2:$E$75)</f>
        <v>1.2</v>
      </c>
      <c r="G40" s="16" t="n">
        <v>195</v>
      </c>
      <c r="H40" s="20" t="n">
        <f aca="false">E40*F40*G40</f>
        <v>1521</v>
      </c>
      <c r="I40" s="20" t="n">
        <f aca="false">H40*10*0.42</f>
        <v>6388.2</v>
      </c>
      <c r="J40" s="16" t="s">
        <v>92</v>
      </c>
      <c r="K40" s="21" t="s">
        <v>93</v>
      </c>
    </row>
    <row r="41" customFormat="false" ht="30" hidden="false" customHeight="true" outlineLevel="0" collapsed="false">
      <c r="A41" s="16" t="s">
        <v>88</v>
      </c>
      <c r="B41" s="16" t="s">
        <v>28</v>
      </c>
      <c r="C41" s="16" t="s">
        <v>52</v>
      </c>
      <c r="D41" s="17" t="s">
        <v>91</v>
      </c>
      <c r="E41" s="18" t="n">
        <f aca="false">INDEX(Zone_ETo_Assumptions!E5:E8,MATCH("Delta",Zone_ETo_Assumptions!$A$5:$A$8,0))</f>
        <v>5.2</v>
      </c>
      <c r="F41" s="19" t="n">
        <f aca="false">SUMPRODUCT((Kc_Values!$A$2:$A$75="Corn / Maize (grain)")*(Kc_Values!$B$2:$B$75="mid_season")*Kc_Values!$E$2:$E$75)</f>
        <v>1.15</v>
      </c>
      <c r="G41" s="16" t="n">
        <v>125</v>
      </c>
      <c r="H41" s="20" t="n">
        <f aca="false">E41*F41*G41</f>
        <v>747.5</v>
      </c>
      <c r="I41" s="20" t="n">
        <f aca="false">H41*10*0.42</f>
        <v>3139.5</v>
      </c>
      <c r="J41" s="16" t="s">
        <v>92</v>
      </c>
      <c r="K41" s="21" t="s">
        <v>93</v>
      </c>
    </row>
    <row r="42" customFormat="false" ht="30" hidden="false" customHeight="true" outlineLevel="0" collapsed="false">
      <c r="A42" s="16" t="s">
        <v>88</v>
      </c>
      <c r="B42" s="16" t="s">
        <v>28</v>
      </c>
      <c r="C42" s="16" t="s">
        <v>55</v>
      </c>
      <c r="D42" s="17" t="s">
        <v>91</v>
      </c>
      <c r="E42" s="18" t="n">
        <f aca="false">INDEX(Zone_ETo_Assumptions!E5:E8,MATCH("Middle Egypt",Zone_ETo_Assumptions!$A$5:$A$8,0))</f>
        <v>6</v>
      </c>
      <c r="F42" s="19" t="n">
        <f aca="false">SUMPRODUCT((Kc_Values!$A$2:$A$75="Corn / Maize (grain)")*(Kc_Values!$B$2:$B$75="mid_season")*Kc_Values!$E$2:$E$75)</f>
        <v>1.15</v>
      </c>
      <c r="G42" s="16" t="n">
        <v>125</v>
      </c>
      <c r="H42" s="20" t="n">
        <f aca="false">E42*F42*G42</f>
        <v>862.5</v>
      </c>
      <c r="I42" s="20" t="n">
        <f aca="false">H42*10*0.42</f>
        <v>3622.5</v>
      </c>
      <c r="J42" s="16" t="s">
        <v>92</v>
      </c>
      <c r="K42" s="21" t="s">
        <v>93</v>
      </c>
    </row>
    <row r="43" customFormat="false" ht="30" hidden="false" customHeight="true" outlineLevel="0" collapsed="false">
      <c r="A43" s="16" t="s">
        <v>88</v>
      </c>
      <c r="B43" s="16" t="s">
        <v>28</v>
      </c>
      <c r="C43" s="16" t="s">
        <v>58</v>
      </c>
      <c r="D43" s="17" t="s">
        <v>91</v>
      </c>
      <c r="E43" s="18" t="n">
        <f aca="false">INDEX(Zone_ETo_Assumptions!E5:E8,MATCH("Upper Egypt",Zone_ETo_Assumptions!$A$5:$A$8,0))</f>
        <v>7.5</v>
      </c>
      <c r="F43" s="19" t="n">
        <f aca="false">SUMPRODUCT((Kc_Values!$A$2:$A$75="Corn / Maize (grain)")*(Kc_Values!$B$2:$B$75="mid_season")*Kc_Values!$E$2:$E$75)</f>
        <v>1.15</v>
      </c>
      <c r="G43" s="16" t="n">
        <v>125</v>
      </c>
      <c r="H43" s="20" t="n">
        <f aca="false">E43*F43*G43</f>
        <v>1078.125</v>
      </c>
      <c r="I43" s="20" t="n">
        <f aca="false">H43*10*0.42</f>
        <v>4528.125</v>
      </c>
      <c r="J43" s="16" t="s">
        <v>92</v>
      </c>
      <c r="K43" s="21" t="s">
        <v>93</v>
      </c>
    </row>
    <row r="44" customFormat="false" ht="30" hidden="false" customHeight="true" outlineLevel="0" collapsed="false">
      <c r="A44" s="16" t="s">
        <v>88</v>
      </c>
      <c r="B44" s="16" t="s">
        <v>28</v>
      </c>
      <c r="C44" s="16" t="s">
        <v>61</v>
      </c>
      <c r="D44" s="17" t="s">
        <v>91</v>
      </c>
      <c r="E44" s="18" t="n">
        <f aca="false">INDEX(Zone_ETo_Assumptions!E5:E8,MATCH("Sinai / Reclaimed Lands",Zone_ETo_Assumptions!$A$5:$A$8,0))</f>
        <v>6.5</v>
      </c>
      <c r="F44" s="19" t="n">
        <f aca="false">SUMPRODUCT((Kc_Values!$A$2:$A$75="Corn / Maize (grain)")*(Kc_Values!$B$2:$B$75="mid_season")*Kc_Values!$E$2:$E$75)</f>
        <v>1.15</v>
      </c>
      <c r="G44" s="16" t="n">
        <v>125</v>
      </c>
      <c r="H44" s="20" t="n">
        <f aca="false">E44*F44*G44</f>
        <v>934.375</v>
      </c>
      <c r="I44" s="20" t="n">
        <f aca="false">H44*10*0.42</f>
        <v>3924.375</v>
      </c>
      <c r="J44" s="16" t="s">
        <v>92</v>
      </c>
      <c r="K44" s="21" t="s">
        <v>93</v>
      </c>
    </row>
    <row r="45" customFormat="false" ht="30" hidden="false" customHeight="true" outlineLevel="0" collapsed="false">
      <c r="A45" s="16" t="s">
        <v>97</v>
      </c>
      <c r="B45" s="16" t="s">
        <v>28</v>
      </c>
      <c r="C45" s="16" t="s">
        <v>52</v>
      </c>
      <c r="D45" s="17" t="s">
        <v>91</v>
      </c>
      <c r="E45" s="18" t="n">
        <f aca="false">INDEX(Zone_ETo_Assumptions!E5:E8,MATCH("Delta",Zone_ETo_Assumptions!$A$5:$A$8,0))</f>
        <v>5.2</v>
      </c>
      <c r="F45" s="19" t="n">
        <f aca="false">SUMPRODUCT((Kc_Values!$A$2:$A$75="Soybeans")*(Kc_Values!$B$2:$B$75="mid_season")*Kc_Values!$E$2:$E$75)</f>
        <v>1.1</v>
      </c>
      <c r="G45" s="16" t="n">
        <v>135</v>
      </c>
      <c r="H45" s="20" t="n">
        <f aca="false">E45*F45*G45</f>
        <v>772.2</v>
      </c>
      <c r="I45" s="20" t="n">
        <f aca="false">H45*10*0.42</f>
        <v>3243.24</v>
      </c>
      <c r="J45" s="16" t="s">
        <v>92</v>
      </c>
      <c r="K45" s="21" t="s">
        <v>93</v>
      </c>
    </row>
    <row r="46" customFormat="false" ht="30" hidden="false" customHeight="true" outlineLevel="0" collapsed="false">
      <c r="A46" s="16" t="s">
        <v>97</v>
      </c>
      <c r="B46" s="16" t="s">
        <v>28</v>
      </c>
      <c r="C46" s="16" t="s">
        <v>55</v>
      </c>
      <c r="D46" s="17" t="s">
        <v>91</v>
      </c>
      <c r="E46" s="18" t="n">
        <f aca="false">INDEX(Zone_ETo_Assumptions!E5:E8,MATCH("Middle Egypt",Zone_ETo_Assumptions!$A$5:$A$8,0))</f>
        <v>6</v>
      </c>
      <c r="F46" s="19" t="n">
        <f aca="false">SUMPRODUCT((Kc_Values!$A$2:$A$75="Soybeans")*(Kc_Values!$B$2:$B$75="mid_season")*Kc_Values!$E$2:$E$75)</f>
        <v>1.1</v>
      </c>
      <c r="G46" s="16" t="n">
        <v>135</v>
      </c>
      <c r="H46" s="20" t="n">
        <f aca="false">E46*F46*G46</f>
        <v>891</v>
      </c>
      <c r="I46" s="20" t="n">
        <f aca="false">H46*10*0.42</f>
        <v>3742.2</v>
      </c>
      <c r="J46" s="16" t="s">
        <v>92</v>
      </c>
      <c r="K46" s="21" t="s">
        <v>93</v>
      </c>
    </row>
    <row r="47" customFormat="false" ht="30" hidden="false" customHeight="true" outlineLevel="0" collapsed="false">
      <c r="A47" s="16" t="s">
        <v>97</v>
      </c>
      <c r="B47" s="16" t="s">
        <v>28</v>
      </c>
      <c r="C47" s="16" t="s">
        <v>58</v>
      </c>
      <c r="D47" s="17" t="s">
        <v>91</v>
      </c>
      <c r="E47" s="18" t="n">
        <f aca="false">INDEX(Zone_ETo_Assumptions!E5:E8,MATCH("Upper Egypt",Zone_ETo_Assumptions!$A$5:$A$8,0))</f>
        <v>7.5</v>
      </c>
      <c r="F47" s="19" t="n">
        <f aca="false">SUMPRODUCT((Kc_Values!$A$2:$A$75="Soybeans")*(Kc_Values!$B$2:$B$75="mid_season")*Kc_Values!$E$2:$E$75)</f>
        <v>1.1</v>
      </c>
      <c r="G47" s="16" t="n">
        <v>135</v>
      </c>
      <c r="H47" s="20" t="n">
        <f aca="false">E47*F47*G47</f>
        <v>1113.75</v>
      </c>
      <c r="I47" s="20" t="n">
        <f aca="false">H47*10*0.42</f>
        <v>4677.75</v>
      </c>
      <c r="J47" s="16" t="s">
        <v>92</v>
      </c>
      <c r="K47" s="21" t="s">
        <v>93</v>
      </c>
    </row>
    <row r="48" customFormat="false" ht="30" hidden="false" customHeight="true" outlineLevel="0" collapsed="false">
      <c r="A48" s="16" t="s">
        <v>97</v>
      </c>
      <c r="B48" s="16" t="s">
        <v>28</v>
      </c>
      <c r="C48" s="16" t="s">
        <v>61</v>
      </c>
      <c r="D48" s="17" t="s">
        <v>91</v>
      </c>
      <c r="E48" s="18" t="n">
        <f aca="false">INDEX(Zone_ETo_Assumptions!E5:E8,MATCH("Sinai / Reclaimed Lands",Zone_ETo_Assumptions!$A$5:$A$8,0))</f>
        <v>6.5</v>
      </c>
      <c r="F48" s="19" t="n">
        <f aca="false">SUMPRODUCT((Kc_Values!$A$2:$A$75="Soybeans")*(Kc_Values!$B$2:$B$75="mid_season")*Kc_Values!$E$2:$E$75)</f>
        <v>1.1</v>
      </c>
      <c r="G48" s="16" t="n">
        <v>135</v>
      </c>
      <c r="H48" s="20" t="n">
        <f aca="false">E48*F48*G48</f>
        <v>965.25</v>
      </c>
      <c r="I48" s="20" t="n">
        <f aca="false">H48*10*0.42</f>
        <v>4054.05</v>
      </c>
      <c r="J48" s="16" t="s">
        <v>92</v>
      </c>
      <c r="K48" s="21" t="s">
        <v>93</v>
      </c>
    </row>
    <row r="49" customFormat="false" ht="30" hidden="false" customHeight="true" outlineLevel="0" collapsed="false">
      <c r="A49" s="16" t="s">
        <v>84</v>
      </c>
      <c r="B49" s="16" t="s">
        <v>28</v>
      </c>
      <c r="C49" s="16" t="s">
        <v>52</v>
      </c>
      <c r="D49" s="17" t="s">
        <v>91</v>
      </c>
      <c r="E49" s="18" t="n">
        <f aca="false">INDEX(Zone_ETo_Assumptions!E5:E8,MATCH("Delta",Zone_ETo_Assumptions!$A$5:$A$8,0))</f>
        <v>5.2</v>
      </c>
      <c r="F49" s="19" t="n">
        <f aca="false">SUMPRODUCT((Kc_Values!$A$2:$A$75="Tomato")*(Kc_Values!$B$2:$B$75="mid_season")*Kc_Values!$E$2:$E$75)</f>
        <v>1.2</v>
      </c>
      <c r="G49" s="16" t="n">
        <v>135</v>
      </c>
      <c r="H49" s="20" t="n">
        <f aca="false">E49*F49*G49</f>
        <v>842.4</v>
      </c>
      <c r="I49" s="20" t="n">
        <f aca="false">H49*10*0.42</f>
        <v>3538.08</v>
      </c>
      <c r="J49" s="16" t="s">
        <v>92</v>
      </c>
      <c r="K49" s="21" t="s">
        <v>93</v>
      </c>
    </row>
    <row r="50" customFormat="false" ht="30" hidden="false" customHeight="true" outlineLevel="0" collapsed="false">
      <c r="A50" s="16" t="s">
        <v>84</v>
      </c>
      <c r="B50" s="16" t="s">
        <v>28</v>
      </c>
      <c r="C50" s="16" t="s">
        <v>55</v>
      </c>
      <c r="D50" s="17" t="s">
        <v>91</v>
      </c>
      <c r="E50" s="18" t="n">
        <f aca="false">INDEX(Zone_ETo_Assumptions!E5:E8,MATCH("Middle Egypt",Zone_ETo_Assumptions!$A$5:$A$8,0))</f>
        <v>6</v>
      </c>
      <c r="F50" s="19" t="n">
        <f aca="false">SUMPRODUCT((Kc_Values!$A$2:$A$75="Tomato")*(Kc_Values!$B$2:$B$75="mid_season")*Kc_Values!$E$2:$E$75)</f>
        <v>1.2</v>
      </c>
      <c r="G50" s="16" t="n">
        <v>135</v>
      </c>
      <c r="H50" s="20" t="n">
        <f aca="false">E50*F50*G50</f>
        <v>972</v>
      </c>
      <c r="I50" s="20" t="n">
        <f aca="false">H50*10*0.42</f>
        <v>4082.4</v>
      </c>
      <c r="J50" s="16" t="s">
        <v>92</v>
      </c>
      <c r="K50" s="21" t="s">
        <v>93</v>
      </c>
    </row>
    <row r="51" customFormat="false" ht="30" hidden="false" customHeight="true" outlineLevel="0" collapsed="false">
      <c r="A51" s="16" t="s">
        <v>84</v>
      </c>
      <c r="B51" s="16" t="s">
        <v>28</v>
      </c>
      <c r="C51" s="16" t="s">
        <v>58</v>
      </c>
      <c r="D51" s="17" t="s">
        <v>91</v>
      </c>
      <c r="E51" s="18" t="n">
        <f aca="false">INDEX(Zone_ETo_Assumptions!E5:E8,MATCH("Upper Egypt",Zone_ETo_Assumptions!$A$5:$A$8,0))</f>
        <v>7.5</v>
      </c>
      <c r="F51" s="19" t="n">
        <f aca="false">SUMPRODUCT((Kc_Values!$A$2:$A$75="Tomato")*(Kc_Values!$B$2:$B$75="mid_season")*Kc_Values!$E$2:$E$75)</f>
        <v>1.2</v>
      </c>
      <c r="G51" s="16" t="n">
        <v>135</v>
      </c>
      <c r="H51" s="20" t="n">
        <f aca="false">E51*F51*G51</f>
        <v>1215</v>
      </c>
      <c r="I51" s="20" t="n">
        <f aca="false">H51*10*0.42</f>
        <v>5103</v>
      </c>
      <c r="J51" s="16" t="s">
        <v>92</v>
      </c>
      <c r="K51" s="21" t="s">
        <v>93</v>
      </c>
    </row>
    <row r="52" customFormat="false" ht="30" hidden="false" customHeight="true" outlineLevel="0" collapsed="false">
      <c r="A52" s="16" t="s">
        <v>84</v>
      </c>
      <c r="B52" s="16" t="s">
        <v>28</v>
      </c>
      <c r="C52" s="16" t="s">
        <v>61</v>
      </c>
      <c r="D52" s="17" t="s">
        <v>91</v>
      </c>
      <c r="E52" s="18" t="n">
        <f aca="false">INDEX(Zone_ETo_Assumptions!E5:E8,MATCH("Sinai / Reclaimed Lands",Zone_ETo_Assumptions!$A$5:$A$8,0))</f>
        <v>6.5</v>
      </c>
      <c r="F52" s="19" t="n">
        <f aca="false">SUMPRODUCT((Kc_Values!$A$2:$A$75="Tomato")*(Kc_Values!$B$2:$B$75="mid_season")*Kc_Values!$E$2:$E$75)</f>
        <v>1.2</v>
      </c>
      <c r="G52" s="16" t="n">
        <v>135</v>
      </c>
      <c r="H52" s="20" t="n">
        <f aca="false">E52*F52*G52</f>
        <v>1053</v>
      </c>
      <c r="I52" s="20" t="n">
        <f aca="false">H52*10*0.42</f>
        <v>4422.6</v>
      </c>
      <c r="J52" s="16" t="s">
        <v>92</v>
      </c>
      <c r="K52" s="21" t="s">
        <v>93</v>
      </c>
    </row>
    <row r="53" customFormat="false" ht="30" hidden="false" customHeight="true" outlineLevel="0" collapsed="false">
      <c r="A53" s="16" t="s">
        <v>98</v>
      </c>
      <c r="B53" s="16" t="s">
        <v>28</v>
      </c>
      <c r="C53" s="16" t="s">
        <v>52</v>
      </c>
      <c r="D53" s="17" t="s">
        <v>91</v>
      </c>
      <c r="E53" s="18" t="n">
        <f aca="false">INDEX(Zone_ETo_Assumptions!E5:E8,MATCH("Delta",Zone_ETo_Assumptions!$A$5:$A$8,0))</f>
        <v>5.2</v>
      </c>
      <c r="F53" s="16" t="n">
        <v>1.2</v>
      </c>
      <c r="G53" s="16" t="n">
        <v>150</v>
      </c>
      <c r="H53" s="20" t="n">
        <f aca="false">E53*F53*G53</f>
        <v>936</v>
      </c>
      <c r="I53" s="20" t="n">
        <f aca="false">H53*10*0.42</f>
        <v>3931.2</v>
      </c>
      <c r="J53" s="16" t="s">
        <v>99</v>
      </c>
      <c r="K53" s="21" t="s">
        <v>100</v>
      </c>
    </row>
    <row r="54" customFormat="false" ht="30" hidden="false" customHeight="true" outlineLevel="0" collapsed="false">
      <c r="A54" s="16" t="s">
        <v>98</v>
      </c>
      <c r="B54" s="16" t="s">
        <v>28</v>
      </c>
      <c r="C54" s="16" t="s">
        <v>55</v>
      </c>
      <c r="D54" s="17" t="s">
        <v>91</v>
      </c>
      <c r="E54" s="18" t="n">
        <f aca="false">INDEX(Zone_ETo_Assumptions!E5:E8,MATCH("Middle Egypt",Zone_ETo_Assumptions!$A$5:$A$8,0))</f>
        <v>6</v>
      </c>
      <c r="F54" s="16" t="n">
        <v>1.2</v>
      </c>
      <c r="G54" s="16" t="n">
        <v>150</v>
      </c>
      <c r="H54" s="20" t="n">
        <f aca="false">E54*F54*G54</f>
        <v>1080</v>
      </c>
      <c r="I54" s="20" t="n">
        <f aca="false">H54*10*0.42</f>
        <v>4536</v>
      </c>
      <c r="J54" s="16" t="s">
        <v>99</v>
      </c>
      <c r="K54" s="21" t="s">
        <v>100</v>
      </c>
    </row>
    <row r="55" customFormat="false" ht="30" hidden="false" customHeight="true" outlineLevel="0" collapsed="false">
      <c r="A55" s="16" t="s">
        <v>98</v>
      </c>
      <c r="B55" s="16" t="s">
        <v>28</v>
      </c>
      <c r="C55" s="16" t="s">
        <v>58</v>
      </c>
      <c r="D55" s="17" t="s">
        <v>91</v>
      </c>
      <c r="E55" s="18" t="n">
        <f aca="false">INDEX(Zone_ETo_Assumptions!E5:E8,MATCH("Upper Egypt",Zone_ETo_Assumptions!$A$5:$A$8,0))</f>
        <v>7.5</v>
      </c>
      <c r="F55" s="16" t="n">
        <v>1.2</v>
      </c>
      <c r="G55" s="16" t="n">
        <v>150</v>
      </c>
      <c r="H55" s="20" t="n">
        <f aca="false">E55*F55*G55</f>
        <v>1350</v>
      </c>
      <c r="I55" s="20" t="n">
        <f aca="false">H55*10*0.42</f>
        <v>5670</v>
      </c>
      <c r="J55" s="16" t="s">
        <v>99</v>
      </c>
      <c r="K55" s="21" t="s">
        <v>100</v>
      </c>
    </row>
    <row r="56" customFormat="false" ht="30" hidden="false" customHeight="true" outlineLevel="0" collapsed="false">
      <c r="A56" s="16" t="s">
        <v>98</v>
      </c>
      <c r="B56" s="16" t="s">
        <v>28</v>
      </c>
      <c r="C56" s="16" t="s">
        <v>61</v>
      </c>
      <c r="D56" s="17" t="s">
        <v>91</v>
      </c>
      <c r="E56" s="18" t="n">
        <f aca="false">INDEX(Zone_ETo_Assumptions!E5:E8,MATCH("Sinai / Reclaimed Lands",Zone_ETo_Assumptions!$A$5:$A$8,0))</f>
        <v>6.5</v>
      </c>
      <c r="F56" s="16" t="n">
        <v>1.2</v>
      </c>
      <c r="G56" s="16" t="n">
        <v>150</v>
      </c>
      <c r="H56" s="20" t="n">
        <f aca="false">E56*F56*G56</f>
        <v>1170</v>
      </c>
      <c r="I56" s="20" t="n">
        <f aca="false">H56*10*0.42</f>
        <v>4914</v>
      </c>
      <c r="J56" s="16" t="s">
        <v>99</v>
      </c>
      <c r="K56" s="21" t="s">
        <v>100</v>
      </c>
    </row>
    <row r="57" customFormat="false" ht="30" hidden="false" customHeight="true" outlineLevel="0" collapsed="false">
      <c r="A57" s="16" t="s">
        <v>101</v>
      </c>
      <c r="B57" s="16" t="s">
        <v>102</v>
      </c>
      <c r="C57" s="16" t="s">
        <v>58</v>
      </c>
      <c r="D57" s="17" t="s">
        <v>91</v>
      </c>
      <c r="E57" s="18" t="n">
        <f aca="false">INDEX(Zone_ETo_Assumptions!E5:E8,MATCH("Upper Egypt",Zone_ETo_Assumptions!$A$5:$A$8,0))</f>
        <v>7.5</v>
      </c>
      <c r="F57" s="16" t="n">
        <v>1.25</v>
      </c>
      <c r="G57" s="16" t="n">
        <v>180</v>
      </c>
      <c r="H57" s="20" t="n">
        <f aca="false">E57*F57*G57</f>
        <v>1687.5</v>
      </c>
      <c r="I57" s="20" t="n">
        <f aca="false">H57*10*0.42</f>
        <v>7087.5</v>
      </c>
      <c r="J57" s="16" t="s">
        <v>103</v>
      </c>
      <c r="K57" s="21" t="s">
        <v>104</v>
      </c>
    </row>
    <row r="59" customFormat="false" ht="15" hidden="false" customHeight="false" outlineLevel="0" collapsed="false">
      <c r="A59" s="7" t="s">
        <v>105</v>
      </c>
      <c r="B59" s="7"/>
      <c r="C59" s="7"/>
      <c r="D59" s="7"/>
      <c r="E59" s="7"/>
      <c r="F59" s="7"/>
      <c r="G59" s="7"/>
      <c r="H59" s="7"/>
      <c r="I59" s="7"/>
      <c r="J59" s="7"/>
      <c r="K59" s="7"/>
    </row>
    <row r="60" customFormat="false" ht="15" hidden="false" customHeight="false" outlineLevel="0" collapsed="false">
      <c r="A60" s="7" t="s">
        <v>106</v>
      </c>
      <c r="B60" s="7"/>
      <c r="C60" s="7"/>
      <c r="D60" s="7"/>
      <c r="E60" s="7"/>
      <c r="F60" s="7"/>
      <c r="G60" s="7"/>
      <c r="H60" s="7"/>
      <c r="I60" s="7"/>
      <c r="J60" s="7"/>
      <c r="K60" s="7"/>
    </row>
  </sheetData>
  <mergeCells count="4">
    <mergeCell ref="A1:K1"/>
    <mergeCell ref="A2:K2"/>
    <mergeCell ref="A59:K59"/>
    <mergeCell ref="A60:K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  <col collapsed="false" customWidth="true" hidden="false" outlineLevel="0" max="4" min="4" style="0" width="40"/>
  </cols>
  <sheetData>
    <row r="1" customFormat="false" ht="26.85" hidden="false" customHeight="false" outlineLevel="0" collapsed="false">
      <c r="A1" s="6" t="s">
        <v>66</v>
      </c>
      <c r="B1" s="6" t="s">
        <v>107</v>
      </c>
      <c r="C1" s="6" t="s">
        <v>108</v>
      </c>
      <c r="D1" s="6" t="s">
        <v>74</v>
      </c>
    </row>
    <row r="2" customFormat="false" ht="15" hidden="false" customHeight="false" outlineLevel="0" collapsed="false">
      <c r="A2" s="22" t="s">
        <v>109</v>
      </c>
      <c r="B2" s="22" t="n">
        <v>600</v>
      </c>
      <c r="C2" s="22" t="n">
        <v>1500</v>
      </c>
      <c r="D2" s="22" t="s">
        <v>110</v>
      </c>
    </row>
    <row r="3" customFormat="false" ht="15" hidden="false" customHeight="false" outlineLevel="0" collapsed="false">
      <c r="A3" s="22" t="s">
        <v>111</v>
      </c>
      <c r="B3" s="22" t="n">
        <v>650</v>
      </c>
      <c r="C3" s="22" t="n">
        <v>1000</v>
      </c>
      <c r="D3" s="22" t="s">
        <v>110</v>
      </c>
    </row>
    <row r="4" customFormat="false" ht="15" hidden="false" customHeight="false" outlineLevel="0" collapsed="false">
      <c r="A4" s="22" t="s">
        <v>112</v>
      </c>
      <c r="B4" s="22" t="n">
        <v>700</v>
      </c>
      <c r="C4" s="22" t="n">
        <v>1700</v>
      </c>
      <c r="D4" s="22" t="s">
        <v>110</v>
      </c>
    </row>
    <row r="5" customFormat="false" ht="15" hidden="false" customHeight="false" outlineLevel="0" collapsed="false">
      <c r="A5" s="22" t="s">
        <v>113</v>
      </c>
      <c r="B5" s="22" t="n">
        <v>250</v>
      </c>
      <c r="C5" s="22" t="n">
        <v>500</v>
      </c>
      <c r="D5" s="22" t="s">
        <v>110</v>
      </c>
    </row>
    <row r="6" customFormat="false" ht="15" hidden="false" customHeight="false" outlineLevel="0" collapsed="false">
      <c r="A6" s="22" t="s">
        <v>114</v>
      </c>
      <c r="B6" s="22" t="n">
        <v>800</v>
      </c>
      <c r="C6" s="22" t="n">
        <v>1200</v>
      </c>
      <c r="D6" s="22" t="s">
        <v>110</v>
      </c>
    </row>
    <row r="7" customFormat="false" ht="15" hidden="false" customHeight="false" outlineLevel="0" collapsed="false">
      <c r="A7" s="22" t="s">
        <v>115</v>
      </c>
      <c r="B7" s="22" t="n">
        <v>800</v>
      </c>
      <c r="C7" s="22" t="n">
        <v>1200</v>
      </c>
      <c r="D7" s="22" t="s">
        <v>110</v>
      </c>
    </row>
    <row r="8" customFormat="false" ht="15" hidden="false" customHeight="false" outlineLevel="0" collapsed="false">
      <c r="A8" s="22" t="s">
        <v>85</v>
      </c>
      <c r="B8" s="22" t="n">
        <v>550</v>
      </c>
      <c r="C8" s="22" t="n">
        <v>950</v>
      </c>
      <c r="D8" s="22" t="s">
        <v>110</v>
      </c>
    </row>
    <row r="9" customFormat="false" ht="15" hidden="false" customHeight="false" outlineLevel="0" collapsed="false">
      <c r="A9" s="22" t="s">
        <v>116</v>
      </c>
      <c r="B9" s="22" t="n">
        <v>900</v>
      </c>
      <c r="C9" s="22" t="n">
        <v>1300</v>
      </c>
      <c r="D9" s="22" t="s">
        <v>110</v>
      </c>
    </row>
    <row r="10" customFormat="false" ht="15" hidden="false" customHeight="false" outlineLevel="0" collapsed="false">
      <c r="A10" s="22" t="s">
        <v>117</v>
      </c>
      <c r="B10" s="22" t="n">
        <v>700</v>
      </c>
      <c r="C10" s="22" t="n">
        <v>1050</v>
      </c>
      <c r="D10" s="22" t="s">
        <v>110</v>
      </c>
    </row>
    <row r="11" customFormat="false" ht="15" hidden="false" customHeight="false" outlineLevel="0" collapsed="false">
      <c r="A11" s="22" t="s">
        <v>118</v>
      </c>
      <c r="B11" s="22" t="n">
        <v>450</v>
      </c>
      <c r="C11" s="22" t="n">
        <v>900</v>
      </c>
      <c r="D11" s="22" t="s">
        <v>110</v>
      </c>
    </row>
    <row r="12" customFormat="false" ht="15" hidden="false" customHeight="false" outlineLevel="0" collapsed="false">
      <c r="A12" s="22" t="s">
        <v>119</v>
      </c>
      <c r="B12" s="22" t="n">
        <v>300</v>
      </c>
      <c r="C12" s="22" t="n">
        <v>450</v>
      </c>
      <c r="D12" s="22" t="s">
        <v>110</v>
      </c>
    </row>
    <row r="13" customFormat="false" ht="15" hidden="false" customHeight="false" outlineLevel="0" collapsed="false">
      <c r="A13" s="22" t="s">
        <v>120</v>
      </c>
      <c r="B13" s="22" t="n">
        <v>650</v>
      </c>
      <c r="C13" s="22" t="n">
        <v>1000</v>
      </c>
      <c r="D13" s="22" t="s">
        <v>110</v>
      </c>
    </row>
    <row r="14" customFormat="false" ht="15" hidden="false" customHeight="false" outlineLevel="0" collapsed="false">
      <c r="A14" s="22" t="s">
        <v>88</v>
      </c>
      <c r="B14" s="22" t="n">
        <v>400</v>
      </c>
      <c r="C14" s="22" t="n">
        <v>750</v>
      </c>
      <c r="D14" s="22" t="s">
        <v>110</v>
      </c>
    </row>
    <row r="15" customFormat="false" ht="15" hidden="false" customHeight="false" outlineLevel="0" collapsed="false">
      <c r="A15" s="22" t="s">
        <v>121</v>
      </c>
      <c r="B15" s="22" t="n">
        <v>300</v>
      </c>
      <c r="C15" s="22" t="n">
        <v>600</v>
      </c>
      <c r="D15" s="22" t="s">
        <v>110</v>
      </c>
    </row>
    <row r="16" customFormat="false" ht="15" hidden="false" customHeight="false" outlineLevel="0" collapsed="false">
      <c r="A16" s="22" t="s">
        <v>122</v>
      </c>
      <c r="B16" s="22" t="n">
        <v>350</v>
      </c>
      <c r="C16" s="22" t="n">
        <v>600</v>
      </c>
      <c r="D16" s="22" t="s">
        <v>110</v>
      </c>
    </row>
    <row r="17" customFormat="false" ht="15" hidden="false" customHeight="false" outlineLevel="0" collapsed="false">
      <c r="A17" s="22" t="s">
        <v>123</v>
      </c>
      <c r="B17" s="22" t="n">
        <v>600</v>
      </c>
      <c r="C17" s="22" t="n">
        <v>950</v>
      </c>
      <c r="D17" s="22" t="s">
        <v>110</v>
      </c>
    </row>
    <row r="18" customFormat="false" ht="15" hidden="false" customHeight="false" outlineLevel="0" collapsed="false">
      <c r="A18" s="22" t="s">
        <v>124</v>
      </c>
      <c r="B18" s="22" t="n">
        <v>350</v>
      </c>
      <c r="C18" s="22" t="n">
        <v>625</v>
      </c>
      <c r="D18" s="22" t="s">
        <v>110</v>
      </c>
    </row>
    <row r="19" customFormat="false" ht="15" hidden="false" customHeight="false" outlineLevel="0" collapsed="false">
      <c r="A19" s="22" t="s">
        <v>98</v>
      </c>
      <c r="B19" s="22" t="n">
        <v>500</v>
      </c>
      <c r="C19" s="22" t="n">
        <v>950</v>
      </c>
      <c r="D19" s="22" t="s">
        <v>110</v>
      </c>
    </row>
    <row r="20" customFormat="false" ht="15" hidden="false" customHeight="false" outlineLevel="0" collapsed="false">
      <c r="A20" s="22" t="s">
        <v>125</v>
      </c>
      <c r="B20" s="22" t="n">
        <v>550</v>
      </c>
      <c r="C20" s="22" t="n">
        <v>800</v>
      </c>
      <c r="D20" s="22" t="s">
        <v>110</v>
      </c>
    </row>
    <row r="21" customFormat="false" ht="15" hidden="false" customHeight="false" outlineLevel="0" collapsed="false">
      <c r="A21" s="22" t="s">
        <v>126</v>
      </c>
      <c r="B21" s="22" t="n">
        <v>300</v>
      </c>
      <c r="C21" s="22" t="n">
        <v>650</v>
      </c>
      <c r="D21" s="22" t="s">
        <v>110</v>
      </c>
    </row>
    <row r="22" customFormat="false" ht="15" hidden="false" customHeight="false" outlineLevel="0" collapsed="false">
      <c r="A22" s="22" t="s">
        <v>97</v>
      </c>
      <c r="B22" s="22" t="n">
        <v>450</v>
      </c>
      <c r="C22" s="22" t="n">
        <v>825</v>
      </c>
      <c r="D22" s="22" t="s">
        <v>110</v>
      </c>
    </row>
    <row r="23" customFormat="false" ht="15" hidden="false" customHeight="false" outlineLevel="0" collapsed="false">
      <c r="A23" s="22" t="s">
        <v>127</v>
      </c>
      <c r="B23" s="22" t="n">
        <v>450</v>
      </c>
      <c r="C23" s="22" t="n">
        <v>850</v>
      </c>
      <c r="D23" s="22" t="s">
        <v>110</v>
      </c>
    </row>
    <row r="24" customFormat="false" ht="15" hidden="false" customHeight="false" outlineLevel="0" collapsed="false">
      <c r="A24" s="22" t="s">
        <v>128</v>
      </c>
      <c r="B24" s="22" t="n">
        <v>1000</v>
      </c>
      <c r="C24" s="22" t="n">
        <v>1500</v>
      </c>
      <c r="D24" s="22" t="s">
        <v>110</v>
      </c>
    </row>
    <row r="25" customFormat="false" ht="15" hidden="false" customHeight="false" outlineLevel="0" collapsed="false">
      <c r="A25" s="22" t="s">
        <v>129</v>
      </c>
      <c r="B25" s="22" t="n">
        <v>400</v>
      </c>
      <c r="C25" s="22" t="n">
        <v>675</v>
      </c>
      <c r="D25" s="22" t="s">
        <v>110</v>
      </c>
    </row>
    <row r="26" customFormat="false" ht="15" hidden="false" customHeight="false" outlineLevel="0" collapsed="false">
      <c r="A26" s="22" t="s">
        <v>130</v>
      </c>
      <c r="B26" s="22" t="n">
        <v>300</v>
      </c>
      <c r="C26" s="22" t="n">
        <v>500</v>
      </c>
      <c r="D26" s="22" t="s">
        <v>110</v>
      </c>
    </row>
    <row r="27" customFormat="false" ht="15" hidden="false" customHeight="false" outlineLevel="0" collapsed="false">
      <c r="A27" s="22" t="s">
        <v>131</v>
      </c>
      <c r="B27" s="22" t="n">
        <v>300</v>
      </c>
      <c r="C27" s="22" t="n">
        <v>600</v>
      </c>
      <c r="D27" s="22" t="s">
        <v>110</v>
      </c>
    </row>
    <row r="28" customFormat="false" ht="15" hidden="false" customHeight="false" outlineLevel="0" collapsed="false">
      <c r="A28" s="22" t="s">
        <v>132</v>
      </c>
      <c r="B28" s="22" t="n">
        <v>250</v>
      </c>
      <c r="C28" s="22" t="n">
        <v>500</v>
      </c>
      <c r="D28" s="22" t="s">
        <v>110</v>
      </c>
    </row>
    <row r="29" customFormat="false" ht="15" hidden="false" customHeight="false" outlineLevel="0" collapsed="false">
      <c r="A29" s="22" t="s">
        <v>133</v>
      </c>
      <c r="B29" s="22" t="n">
        <v>450</v>
      </c>
      <c r="C29" s="22" t="n">
        <v>900</v>
      </c>
      <c r="D29" s="22" t="s">
        <v>110</v>
      </c>
    </row>
    <row r="30" customFormat="false" ht="15" hidden="false" customHeight="false" outlineLevel="0" collapsed="false">
      <c r="A30" s="22" t="s">
        <v>134</v>
      </c>
      <c r="B30" s="22" t="n">
        <v>700</v>
      </c>
      <c r="C30" s="22" t="n">
        <v>1000</v>
      </c>
      <c r="D30" s="2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55"/>
  </cols>
  <sheetData>
    <row r="1" customFormat="false" ht="39.55" hidden="false" customHeight="false" outlineLevel="0" collapsed="false">
      <c r="A1" s="6" t="s">
        <v>66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74</v>
      </c>
    </row>
    <row r="2" customFormat="false" ht="15" hidden="false" customHeight="false" outlineLevel="0" collapsed="false">
      <c r="A2" s="0" t="s">
        <v>81</v>
      </c>
      <c r="B2" s="0" t="s">
        <v>140</v>
      </c>
      <c r="C2" s="0" t="n">
        <v>1.05</v>
      </c>
      <c r="D2" s="0" t="n">
        <v>1.1</v>
      </c>
      <c r="E2" s="0" t="n">
        <v>1.15</v>
      </c>
      <c r="F2" s="0" t="n">
        <v>1.2</v>
      </c>
      <c r="G2" s="0" t="s">
        <v>141</v>
      </c>
    </row>
    <row r="3" customFormat="false" ht="15" hidden="false" customHeight="false" outlineLevel="0" collapsed="false">
      <c r="A3" s="0" t="s">
        <v>81</v>
      </c>
      <c r="B3" s="0" t="s">
        <v>142</v>
      </c>
      <c r="C3" s="0" t="n">
        <v>0.25</v>
      </c>
      <c r="D3" s="0" t="n">
        <v>0.25</v>
      </c>
      <c r="E3" s="0" t="n">
        <v>0.2</v>
      </c>
      <c r="F3" s="0" t="n">
        <v>0.2</v>
      </c>
      <c r="G3" s="0" t="s">
        <v>141</v>
      </c>
    </row>
    <row r="4" customFormat="false" ht="15" hidden="false" customHeight="false" outlineLevel="0" collapsed="false">
      <c r="A4" s="0" t="s">
        <v>143</v>
      </c>
      <c r="B4" s="0" t="s">
        <v>140</v>
      </c>
      <c r="C4" s="0" t="n">
        <v>0.95</v>
      </c>
      <c r="D4" s="0" t="n">
        <v>0.95</v>
      </c>
      <c r="E4" s="0" t="n">
        <v>1</v>
      </c>
      <c r="F4" s="0" t="n">
        <v>1.05</v>
      </c>
      <c r="G4" s="0" t="s">
        <v>141</v>
      </c>
    </row>
    <row r="5" customFormat="false" ht="15" hidden="false" customHeight="false" outlineLevel="0" collapsed="false">
      <c r="A5" s="23" t="s">
        <v>143</v>
      </c>
      <c r="B5" s="24" t="s">
        <v>142</v>
      </c>
      <c r="C5" s="0" t="n">
        <v>0.85</v>
      </c>
      <c r="D5" s="0" t="n">
        <v>0.85</v>
      </c>
      <c r="E5" s="0" t="n">
        <v>0.9</v>
      </c>
      <c r="F5" s="0" t="n">
        <v>0.9</v>
      </c>
      <c r="G5" s="24" t="s">
        <v>144</v>
      </c>
    </row>
    <row r="6" customFormat="false" ht="15" hidden="false" customHeight="false" outlineLevel="0" collapsed="false">
      <c r="A6" s="0" t="s">
        <v>145</v>
      </c>
      <c r="B6" s="0" t="s">
        <v>140</v>
      </c>
      <c r="C6" s="0" t="n">
        <v>1.05</v>
      </c>
      <c r="D6" s="0" t="n">
        <v>1.1</v>
      </c>
      <c r="E6" s="0" t="n">
        <v>1.15</v>
      </c>
      <c r="F6" s="0" t="n">
        <v>1.2</v>
      </c>
      <c r="G6" s="0" t="s">
        <v>141</v>
      </c>
    </row>
    <row r="7" customFormat="false" ht="15" hidden="false" customHeight="false" outlineLevel="0" collapsed="false">
      <c r="A7" s="0" t="s">
        <v>145</v>
      </c>
      <c r="B7" s="0" t="s">
        <v>142</v>
      </c>
      <c r="C7" s="0" t="n">
        <v>0.3</v>
      </c>
      <c r="D7" s="0" t="n">
        <v>0.3</v>
      </c>
      <c r="E7" s="0" t="n">
        <v>0.25</v>
      </c>
      <c r="F7" s="0" t="n">
        <v>0.25</v>
      </c>
      <c r="G7" s="0" t="s">
        <v>141</v>
      </c>
    </row>
    <row r="8" customFormat="false" ht="15" hidden="false" customHeight="false" outlineLevel="0" collapsed="false">
      <c r="A8" s="0" t="s">
        <v>146</v>
      </c>
      <c r="B8" s="0" t="s">
        <v>140</v>
      </c>
      <c r="C8" s="0" t="n">
        <v>1</v>
      </c>
      <c r="D8" s="0" t="n">
        <v>1</v>
      </c>
      <c r="E8" s="0" t="n">
        <v>1.05</v>
      </c>
      <c r="F8" s="0" t="n">
        <v>1.1</v>
      </c>
      <c r="G8" s="0" t="s">
        <v>141</v>
      </c>
    </row>
    <row r="9" customFormat="false" ht="15" hidden="false" customHeight="false" outlineLevel="0" collapsed="false">
      <c r="A9" s="0" t="s">
        <v>146</v>
      </c>
      <c r="B9" s="0" t="s">
        <v>142</v>
      </c>
      <c r="C9" s="0" t="n">
        <v>0.9</v>
      </c>
      <c r="D9" s="0" t="n">
        <v>0.9</v>
      </c>
      <c r="E9" s="0" t="n">
        <v>0.95</v>
      </c>
      <c r="F9" s="0" t="n">
        <v>1</v>
      </c>
      <c r="G9" s="0" t="s">
        <v>141</v>
      </c>
    </row>
    <row r="10" customFormat="false" ht="15" hidden="false" customHeight="false" outlineLevel="0" collapsed="false">
      <c r="A10" s="0" t="s">
        <v>147</v>
      </c>
      <c r="B10" s="0" t="s">
        <v>140</v>
      </c>
      <c r="C10" s="0" t="n">
        <v>1</v>
      </c>
      <c r="D10" s="0" t="n">
        <v>1.05</v>
      </c>
      <c r="E10" s="0" t="n">
        <v>1.1</v>
      </c>
      <c r="F10" s="0" t="n">
        <v>1.15</v>
      </c>
      <c r="G10" s="0" t="s">
        <v>141</v>
      </c>
    </row>
    <row r="11" customFormat="false" ht="15" hidden="false" customHeight="false" outlineLevel="0" collapsed="false">
      <c r="A11" s="0" t="s">
        <v>147</v>
      </c>
      <c r="B11" s="0" t="s">
        <v>142</v>
      </c>
      <c r="C11" s="0" t="n">
        <v>0.7</v>
      </c>
      <c r="D11" s="0" t="n">
        <v>0.75</v>
      </c>
      <c r="E11" s="0" t="n">
        <v>0.8</v>
      </c>
      <c r="F11" s="0" t="n">
        <v>0.85</v>
      </c>
      <c r="G11" s="0" t="s">
        <v>141</v>
      </c>
    </row>
    <row r="12" customFormat="false" ht="15" hidden="false" customHeight="false" outlineLevel="0" collapsed="false">
      <c r="A12" s="0" t="s">
        <v>148</v>
      </c>
      <c r="B12" s="0" t="s">
        <v>140</v>
      </c>
      <c r="C12" s="0" t="n">
        <v>1.05</v>
      </c>
      <c r="D12" s="0" t="n">
        <v>1.1</v>
      </c>
      <c r="E12" s="0" t="n">
        <v>1.15</v>
      </c>
      <c r="F12" s="0" t="n">
        <v>1.2</v>
      </c>
      <c r="G12" s="0" t="s">
        <v>141</v>
      </c>
    </row>
    <row r="13" customFormat="false" ht="15" hidden="false" customHeight="false" outlineLevel="0" collapsed="false">
      <c r="A13" s="0" t="s">
        <v>148</v>
      </c>
      <c r="B13" s="0" t="s">
        <v>142</v>
      </c>
      <c r="C13" s="0" t="n">
        <v>0.5</v>
      </c>
      <c r="D13" s="0" t="n">
        <v>0.5</v>
      </c>
      <c r="E13" s="0" t="n">
        <v>0.5</v>
      </c>
      <c r="F13" s="0" t="n">
        <v>0.5</v>
      </c>
      <c r="G13" s="0" t="s">
        <v>141</v>
      </c>
    </row>
    <row r="14" customFormat="false" ht="15" hidden="false" customHeight="false" outlineLevel="0" collapsed="false">
      <c r="A14" s="0" t="s">
        <v>149</v>
      </c>
      <c r="B14" s="0" t="s">
        <v>140</v>
      </c>
      <c r="C14" s="0" t="n">
        <v>1</v>
      </c>
      <c r="D14" s="0" t="n">
        <v>1.05</v>
      </c>
      <c r="E14" s="0" t="n">
        <v>1.1</v>
      </c>
      <c r="F14" s="0" t="n">
        <v>1.15</v>
      </c>
      <c r="G14" s="0" t="s">
        <v>141</v>
      </c>
    </row>
    <row r="15" customFormat="false" ht="15" hidden="false" customHeight="false" outlineLevel="0" collapsed="false">
      <c r="A15" s="0" t="s">
        <v>149</v>
      </c>
      <c r="B15" s="0" t="s">
        <v>142</v>
      </c>
      <c r="C15" s="0" t="n">
        <v>0.9</v>
      </c>
      <c r="D15" s="0" t="n">
        <v>0.95</v>
      </c>
      <c r="E15" s="0" t="n">
        <v>1</v>
      </c>
      <c r="F15" s="0" t="n">
        <v>1.05</v>
      </c>
      <c r="G15" s="0" t="s">
        <v>141</v>
      </c>
    </row>
    <row r="16" customFormat="false" ht="15" hidden="false" customHeight="false" outlineLevel="0" collapsed="false">
      <c r="A16" s="0" t="s">
        <v>150</v>
      </c>
      <c r="B16" s="0" t="s">
        <v>140</v>
      </c>
      <c r="C16" s="0" t="n">
        <v>1.05</v>
      </c>
      <c r="D16" s="0" t="n">
        <v>1.1</v>
      </c>
      <c r="E16" s="0" t="n">
        <v>1.15</v>
      </c>
      <c r="F16" s="0" t="n">
        <v>1.2</v>
      </c>
      <c r="G16" s="0" t="s">
        <v>141</v>
      </c>
    </row>
    <row r="17" customFormat="false" ht="15" hidden="false" customHeight="false" outlineLevel="0" collapsed="false">
      <c r="A17" s="0" t="s">
        <v>150</v>
      </c>
      <c r="B17" s="0" t="s">
        <v>142</v>
      </c>
      <c r="C17" s="0" t="n">
        <v>0.95</v>
      </c>
      <c r="D17" s="0" t="n">
        <v>1</v>
      </c>
      <c r="E17" s="0" t="n">
        <v>1.05</v>
      </c>
      <c r="F17" s="0" t="n">
        <v>1.1</v>
      </c>
      <c r="G17" s="0" t="s">
        <v>141</v>
      </c>
    </row>
    <row r="18" customFormat="false" ht="15" hidden="false" customHeight="false" outlineLevel="0" collapsed="false">
      <c r="A18" s="0" t="s">
        <v>151</v>
      </c>
      <c r="B18" s="0" t="s">
        <v>140</v>
      </c>
      <c r="C18" s="0" t="n">
        <v>1.05</v>
      </c>
      <c r="D18" s="0" t="n">
        <v>1.1</v>
      </c>
      <c r="E18" s="0" t="n">
        <v>1.15</v>
      </c>
      <c r="F18" s="0" t="n">
        <v>1.2</v>
      </c>
      <c r="G18" s="0" t="s">
        <v>141</v>
      </c>
    </row>
    <row r="19" customFormat="false" ht="15" hidden="false" customHeight="false" outlineLevel="0" collapsed="false">
      <c r="A19" s="0" t="s">
        <v>151</v>
      </c>
      <c r="B19" s="0" t="s">
        <v>142</v>
      </c>
      <c r="C19" s="0" t="n">
        <v>0.55</v>
      </c>
      <c r="D19" s="0" t="n">
        <v>0.55</v>
      </c>
      <c r="E19" s="0" t="n">
        <v>0.6</v>
      </c>
      <c r="F19" s="0" t="n">
        <v>0.6</v>
      </c>
      <c r="G19" s="0" t="s">
        <v>141</v>
      </c>
    </row>
    <row r="20" customFormat="false" ht="15" hidden="false" customHeight="false" outlineLevel="0" collapsed="false">
      <c r="A20" s="0" t="s">
        <v>85</v>
      </c>
      <c r="B20" s="0" t="s">
        <v>140</v>
      </c>
      <c r="C20" s="0" t="n">
        <v>1.05</v>
      </c>
      <c r="D20" s="0" t="n">
        <v>1.15</v>
      </c>
      <c r="E20" s="0" t="n">
        <v>1.2</v>
      </c>
      <c r="F20" s="0" t="n">
        <v>1.25</v>
      </c>
      <c r="G20" s="0" t="s">
        <v>141</v>
      </c>
    </row>
    <row r="21" customFormat="false" ht="15" hidden="false" customHeight="false" outlineLevel="0" collapsed="false">
      <c r="A21" s="0" t="s">
        <v>85</v>
      </c>
      <c r="B21" s="0" t="s">
        <v>142</v>
      </c>
      <c r="C21" s="0" t="n">
        <v>0.65</v>
      </c>
      <c r="D21" s="0" t="n">
        <v>0.65</v>
      </c>
      <c r="E21" s="0" t="n">
        <v>0.65</v>
      </c>
      <c r="F21" s="0" t="n">
        <v>0.7</v>
      </c>
      <c r="G21" s="0" t="s">
        <v>141</v>
      </c>
    </row>
    <row r="22" customFormat="false" ht="15" hidden="false" customHeight="false" outlineLevel="0" collapsed="false">
      <c r="A22" s="0" t="s">
        <v>152</v>
      </c>
      <c r="B22" s="0" t="s">
        <v>140</v>
      </c>
      <c r="C22" s="0" t="n">
        <v>0.95</v>
      </c>
      <c r="D22" s="0" t="n">
        <v>1</v>
      </c>
      <c r="E22" s="0" t="n">
        <v>1.05</v>
      </c>
      <c r="F22" s="0" t="n">
        <v>1.1</v>
      </c>
      <c r="G22" s="0" t="s">
        <v>141</v>
      </c>
    </row>
    <row r="23" customFormat="false" ht="15" hidden="false" customHeight="false" outlineLevel="0" collapsed="false">
      <c r="A23" s="0" t="s">
        <v>152</v>
      </c>
      <c r="B23" s="0" t="s">
        <v>142</v>
      </c>
      <c r="C23" s="0" t="n">
        <v>0.8</v>
      </c>
      <c r="D23" s="0" t="n">
        <v>0.85</v>
      </c>
      <c r="E23" s="0" t="n">
        <v>0.9</v>
      </c>
      <c r="F23" s="0" t="n">
        <v>0.95</v>
      </c>
      <c r="G23" s="0" t="s">
        <v>141</v>
      </c>
    </row>
    <row r="24" customFormat="false" ht="15" hidden="false" customHeight="false" outlineLevel="0" collapsed="false">
      <c r="A24" s="0" t="s">
        <v>153</v>
      </c>
      <c r="B24" s="0" t="s">
        <v>140</v>
      </c>
      <c r="C24" s="0" t="n">
        <v>0.9</v>
      </c>
      <c r="D24" s="0" t="n">
        <v>0.9</v>
      </c>
      <c r="E24" s="0" t="n">
        <v>0.95</v>
      </c>
      <c r="F24" s="0" t="n">
        <v>1</v>
      </c>
      <c r="G24" s="0" t="s">
        <v>141</v>
      </c>
    </row>
    <row r="25" customFormat="false" ht="15" hidden="false" customHeight="false" outlineLevel="0" collapsed="false">
      <c r="A25" s="0" t="s">
        <v>153</v>
      </c>
      <c r="B25" s="0" t="s">
        <v>142</v>
      </c>
      <c r="C25" s="0" t="n">
        <v>0.7</v>
      </c>
      <c r="D25" s="0" t="n">
        <v>0.7</v>
      </c>
      <c r="E25" s="0" t="n">
        <v>0.75</v>
      </c>
      <c r="F25" s="0" t="n">
        <v>0.8</v>
      </c>
      <c r="G25" s="0" t="s">
        <v>141</v>
      </c>
    </row>
    <row r="26" customFormat="false" ht="15" hidden="false" customHeight="false" outlineLevel="0" collapsed="false">
      <c r="A26" s="0" t="s">
        <v>154</v>
      </c>
      <c r="B26" s="0" t="s">
        <v>140</v>
      </c>
      <c r="C26" s="0" t="n">
        <v>0.9</v>
      </c>
      <c r="D26" s="0" t="n">
        <v>0.9</v>
      </c>
      <c r="E26" s="0" t="n">
        <v>0.95</v>
      </c>
      <c r="F26" s="0" t="n">
        <v>1</v>
      </c>
      <c r="G26" s="0" t="s">
        <v>141</v>
      </c>
    </row>
    <row r="27" customFormat="false" ht="15" hidden="false" customHeight="false" outlineLevel="0" collapsed="false">
      <c r="A27" s="0" t="s">
        <v>154</v>
      </c>
      <c r="B27" s="0" t="s">
        <v>142</v>
      </c>
      <c r="C27" s="0" t="n">
        <v>0.85</v>
      </c>
      <c r="D27" s="0" t="n">
        <v>0.85</v>
      </c>
      <c r="E27" s="0" t="n">
        <v>0.95</v>
      </c>
      <c r="F27" s="0" t="n">
        <v>1</v>
      </c>
      <c r="G27" s="0" t="s">
        <v>141</v>
      </c>
    </row>
    <row r="28" customFormat="false" ht="15" hidden="false" customHeight="false" outlineLevel="0" collapsed="false">
      <c r="A28" s="0" t="s">
        <v>155</v>
      </c>
      <c r="B28" s="0" t="s">
        <v>140</v>
      </c>
      <c r="C28" s="0" t="n">
        <v>0.95</v>
      </c>
      <c r="D28" s="0" t="n">
        <v>1</v>
      </c>
      <c r="E28" s="0" t="n">
        <v>1.05</v>
      </c>
      <c r="F28" s="0" t="n">
        <v>1.1</v>
      </c>
      <c r="G28" s="0" t="s">
        <v>141</v>
      </c>
    </row>
    <row r="29" customFormat="false" ht="15" hidden="false" customHeight="false" outlineLevel="0" collapsed="false">
      <c r="A29" s="0" t="s">
        <v>155</v>
      </c>
      <c r="B29" s="0" t="s">
        <v>142</v>
      </c>
      <c r="C29" s="0" t="n">
        <v>0.8</v>
      </c>
      <c r="D29" s="0" t="n">
        <v>0.85</v>
      </c>
      <c r="E29" s="0" t="n">
        <v>0.85</v>
      </c>
      <c r="F29" s="0" t="n">
        <v>0.9</v>
      </c>
      <c r="G29" s="0" t="s">
        <v>141</v>
      </c>
    </row>
    <row r="30" customFormat="false" ht="15" hidden="false" customHeight="false" outlineLevel="0" collapsed="false">
      <c r="A30" s="0" t="s">
        <v>118</v>
      </c>
      <c r="B30" s="0" t="s">
        <v>140</v>
      </c>
      <c r="C30" s="0" t="n">
        <v>1</v>
      </c>
      <c r="D30" s="0" t="n">
        <v>1.05</v>
      </c>
      <c r="E30" s="0" t="n">
        <v>1.1</v>
      </c>
      <c r="F30" s="0" t="n">
        <v>1.15</v>
      </c>
      <c r="G30" s="0" t="s">
        <v>141</v>
      </c>
    </row>
    <row r="31" customFormat="false" ht="15" hidden="false" customHeight="false" outlineLevel="0" collapsed="false">
      <c r="A31" s="0" t="s">
        <v>118</v>
      </c>
      <c r="B31" s="0" t="s">
        <v>142</v>
      </c>
      <c r="C31" s="0" t="n">
        <v>0.25</v>
      </c>
      <c r="D31" s="0" t="n">
        <v>0.25</v>
      </c>
      <c r="E31" s="0" t="n">
        <v>0.2</v>
      </c>
      <c r="F31" s="0" t="n">
        <v>0.2</v>
      </c>
      <c r="G31" s="0" t="s">
        <v>141</v>
      </c>
    </row>
    <row r="32" customFormat="false" ht="15" hidden="false" customHeight="false" outlineLevel="0" collapsed="false">
      <c r="A32" s="0" t="s">
        <v>156</v>
      </c>
      <c r="B32" s="0" t="s">
        <v>140</v>
      </c>
      <c r="C32" s="0" t="n">
        <v>1.05</v>
      </c>
      <c r="D32" s="0" t="n">
        <v>1.1</v>
      </c>
      <c r="E32" s="0" t="n">
        <v>1.15</v>
      </c>
      <c r="F32" s="0" t="n">
        <v>1.2</v>
      </c>
      <c r="G32" s="0" t="s">
        <v>141</v>
      </c>
    </row>
    <row r="33" customFormat="false" ht="15" hidden="false" customHeight="false" outlineLevel="0" collapsed="false">
      <c r="A33" s="0" t="s">
        <v>156</v>
      </c>
      <c r="B33" s="0" t="s">
        <v>142</v>
      </c>
      <c r="C33" s="0" t="n">
        <v>0.3</v>
      </c>
      <c r="D33" s="0" t="n">
        <v>0.3</v>
      </c>
      <c r="E33" s="0" t="n">
        <v>0.25</v>
      </c>
      <c r="F33" s="0" t="n">
        <v>0.25</v>
      </c>
      <c r="G33" s="0" t="s">
        <v>141</v>
      </c>
    </row>
    <row r="34" customFormat="false" ht="15" hidden="false" customHeight="false" outlineLevel="0" collapsed="false">
      <c r="A34" s="0" t="s">
        <v>157</v>
      </c>
      <c r="B34" s="0" t="s">
        <v>140</v>
      </c>
      <c r="C34" s="0" t="n">
        <v>1.05</v>
      </c>
      <c r="D34" s="0" t="n">
        <v>1.1</v>
      </c>
      <c r="E34" s="0" t="n">
        <v>1.15</v>
      </c>
      <c r="F34" s="0" t="n">
        <v>1.2</v>
      </c>
      <c r="G34" s="0" t="s">
        <v>141</v>
      </c>
    </row>
    <row r="35" customFormat="false" ht="15" hidden="false" customHeight="false" outlineLevel="0" collapsed="false">
      <c r="A35" s="0" t="s">
        <v>157</v>
      </c>
      <c r="B35" s="0" t="s">
        <v>142</v>
      </c>
      <c r="C35" s="0" t="n">
        <v>0.3</v>
      </c>
      <c r="D35" s="0" t="n">
        <v>0.3</v>
      </c>
      <c r="E35" s="0" t="n">
        <v>0.25</v>
      </c>
      <c r="F35" s="0" t="n">
        <v>0.25</v>
      </c>
      <c r="G35" s="0" t="s">
        <v>141</v>
      </c>
    </row>
    <row r="36" customFormat="false" ht="15" hidden="false" customHeight="false" outlineLevel="0" collapsed="false">
      <c r="A36" s="0" t="s">
        <v>158</v>
      </c>
      <c r="B36" s="0" t="s">
        <v>140</v>
      </c>
      <c r="C36" s="0" t="n">
        <v>0.95</v>
      </c>
      <c r="D36" s="0" t="n">
        <v>0.95</v>
      </c>
      <c r="E36" s="0" t="n">
        <v>1</v>
      </c>
      <c r="F36" s="0" t="n">
        <v>1.05</v>
      </c>
      <c r="G36" s="0" t="s">
        <v>141</v>
      </c>
    </row>
    <row r="37" customFormat="false" ht="15" hidden="false" customHeight="false" outlineLevel="0" collapsed="false">
      <c r="A37" s="0" t="s">
        <v>158</v>
      </c>
      <c r="B37" s="0" t="s">
        <v>142</v>
      </c>
      <c r="C37" s="0" t="n">
        <v>0.9</v>
      </c>
      <c r="D37" s="0" t="n">
        <v>0.9</v>
      </c>
      <c r="E37" s="0" t="n">
        <v>0.9</v>
      </c>
      <c r="F37" s="0" t="n">
        <v>1</v>
      </c>
      <c r="G37" s="0" t="s">
        <v>141</v>
      </c>
    </row>
    <row r="38" customFormat="false" ht="15" hidden="false" customHeight="false" outlineLevel="0" collapsed="false">
      <c r="A38" s="0" t="s">
        <v>159</v>
      </c>
      <c r="B38" s="0" t="s">
        <v>140</v>
      </c>
      <c r="C38" s="0" t="n">
        <v>0.95</v>
      </c>
      <c r="D38" s="0" t="n">
        <v>0.95</v>
      </c>
      <c r="E38" s="0" t="n">
        <v>1</v>
      </c>
      <c r="F38" s="0" t="n">
        <v>1.05</v>
      </c>
      <c r="G38" s="0" t="s">
        <v>141</v>
      </c>
    </row>
    <row r="39" customFormat="false" ht="15" hidden="false" customHeight="false" outlineLevel="0" collapsed="false">
      <c r="A39" s="0" t="s">
        <v>159</v>
      </c>
      <c r="B39" s="0" t="s">
        <v>142</v>
      </c>
      <c r="C39" s="0" t="n">
        <v>0.65</v>
      </c>
      <c r="D39" s="0" t="n">
        <v>0.65</v>
      </c>
      <c r="E39" s="0" t="n">
        <v>0.75</v>
      </c>
      <c r="F39" s="0" t="n">
        <v>0.75</v>
      </c>
      <c r="G39" s="0" t="s">
        <v>141</v>
      </c>
    </row>
    <row r="40" customFormat="false" ht="15" hidden="false" customHeight="false" outlineLevel="0" collapsed="false">
      <c r="A40" s="0" t="s">
        <v>160</v>
      </c>
      <c r="B40" s="0" t="s">
        <v>140</v>
      </c>
      <c r="C40" s="0" t="n">
        <v>1</v>
      </c>
      <c r="D40" s="0" t="n">
        <v>1.05</v>
      </c>
      <c r="E40" s="0" t="n">
        <v>1.1</v>
      </c>
      <c r="F40" s="0" t="n">
        <v>1.15</v>
      </c>
      <c r="G40" s="0" t="s">
        <v>141</v>
      </c>
    </row>
    <row r="41" customFormat="false" ht="15" hidden="false" customHeight="false" outlineLevel="0" collapsed="false">
      <c r="A41" s="0" t="s">
        <v>160</v>
      </c>
      <c r="B41" s="0" t="s">
        <v>142</v>
      </c>
      <c r="C41" s="0" t="n">
        <v>0.3</v>
      </c>
      <c r="D41" s="0" t="n">
        <v>0.3</v>
      </c>
      <c r="E41" s="0" t="n">
        <v>0.25</v>
      </c>
      <c r="F41" s="0" t="n">
        <v>0.25</v>
      </c>
      <c r="G41" s="0" t="s">
        <v>141</v>
      </c>
    </row>
    <row r="42" customFormat="false" ht="15" hidden="false" customHeight="false" outlineLevel="0" collapsed="false">
      <c r="A42" s="0" t="s">
        <v>161</v>
      </c>
      <c r="B42" s="0" t="s">
        <v>140</v>
      </c>
      <c r="C42" s="0" t="n">
        <v>1.05</v>
      </c>
      <c r="D42" s="0" t="n">
        <v>1.1</v>
      </c>
      <c r="E42" s="0" t="n">
        <v>1.15</v>
      </c>
      <c r="F42" s="0" t="n">
        <v>1.2</v>
      </c>
      <c r="G42" s="0" t="s">
        <v>141</v>
      </c>
    </row>
    <row r="43" customFormat="false" ht="15" hidden="false" customHeight="false" outlineLevel="0" collapsed="false">
      <c r="A43" s="0" t="s">
        <v>161</v>
      </c>
      <c r="B43" s="0" t="s">
        <v>142</v>
      </c>
      <c r="C43" s="0" t="n">
        <v>0.25</v>
      </c>
      <c r="D43" s="0" t="n">
        <v>0.25</v>
      </c>
      <c r="E43" s="0" t="n">
        <v>0.2</v>
      </c>
      <c r="F43" s="0" t="n">
        <v>0.2</v>
      </c>
      <c r="G43" s="0" t="s">
        <v>141</v>
      </c>
    </row>
    <row r="44" customFormat="false" ht="15" hidden="false" customHeight="false" outlineLevel="0" collapsed="false">
      <c r="A44" s="0" t="s">
        <v>96</v>
      </c>
      <c r="B44" s="0" t="s">
        <v>140</v>
      </c>
      <c r="C44" s="0" t="n">
        <v>0.95</v>
      </c>
      <c r="D44" s="0" t="n">
        <v>0.95</v>
      </c>
      <c r="E44" s="0" t="n">
        <v>1.05</v>
      </c>
      <c r="F44" s="0" t="n">
        <v>1.1</v>
      </c>
      <c r="G44" s="0" t="s">
        <v>141</v>
      </c>
    </row>
    <row r="45" customFormat="false" ht="15" hidden="false" customHeight="false" outlineLevel="0" collapsed="false">
      <c r="A45" s="0" t="s">
        <v>96</v>
      </c>
      <c r="B45" s="0" t="s">
        <v>142</v>
      </c>
      <c r="C45" s="0" t="n">
        <v>0.75</v>
      </c>
      <c r="D45" s="0" t="n">
        <v>0.75</v>
      </c>
      <c r="E45" s="0" t="n">
        <v>0.8</v>
      </c>
      <c r="F45" s="0" t="n">
        <v>0.85</v>
      </c>
      <c r="G45" s="0" t="s">
        <v>141</v>
      </c>
    </row>
    <row r="46" customFormat="false" ht="15" hidden="false" customHeight="false" outlineLevel="0" collapsed="false">
      <c r="A46" s="0" t="s">
        <v>162</v>
      </c>
      <c r="B46" s="0" t="s">
        <v>140</v>
      </c>
      <c r="C46" s="0" t="n">
        <v>0.95</v>
      </c>
      <c r="D46" s="0" t="n">
        <v>0.95</v>
      </c>
      <c r="E46" s="0" t="n">
        <v>1</v>
      </c>
      <c r="F46" s="0" t="n">
        <v>1.05</v>
      </c>
      <c r="G46" s="0" t="s">
        <v>141</v>
      </c>
    </row>
    <row r="47" customFormat="false" ht="15" hidden="false" customHeight="false" outlineLevel="0" collapsed="false">
      <c r="A47" s="0" t="s">
        <v>162</v>
      </c>
      <c r="B47" s="0" t="s">
        <v>142</v>
      </c>
      <c r="C47" s="0" t="n">
        <v>0.95</v>
      </c>
      <c r="D47" s="0" t="n">
        <v>0.95</v>
      </c>
      <c r="E47" s="0" t="n">
        <v>1</v>
      </c>
      <c r="F47" s="0" t="n">
        <v>1.05</v>
      </c>
      <c r="G47" s="0" t="s">
        <v>141</v>
      </c>
    </row>
    <row r="48" customFormat="false" ht="15" hidden="false" customHeight="false" outlineLevel="0" collapsed="false">
      <c r="A48" s="0" t="s">
        <v>163</v>
      </c>
      <c r="B48" s="0" t="s">
        <v>140</v>
      </c>
      <c r="C48" s="0" t="n">
        <v>0.95</v>
      </c>
      <c r="D48" s="0" t="n">
        <v>1</v>
      </c>
      <c r="E48" s="0" t="n">
        <v>1.05</v>
      </c>
      <c r="F48" s="0" t="n">
        <v>1.1</v>
      </c>
      <c r="G48" s="0" t="s">
        <v>141</v>
      </c>
    </row>
    <row r="49" customFormat="false" ht="15" hidden="false" customHeight="false" outlineLevel="0" collapsed="false">
      <c r="A49" s="0" t="s">
        <v>163</v>
      </c>
      <c r="B49" s="0" t="s">
        <v>142</v>
      </c>
      <c r="C49" s="0" t="n">
        <v>0.55</v>
      </c>
      <c r="D49" s="0" t="n">
        <v>0.55</v>
      </c>
      <c r="E49" s="0" t="n">
        <v>0.6</v>
      </c>
      <c r="F49" s="0" t="n">
        <v>0.6</v>
      </c>
      <c r="G49" s="0" t="s">
        <v>141</v>
      </c>
    </row>
    <row r="50" customFormat="false" ht="15" hidden="false" customHeight="false" outlineLevel="0" collapsed="false">
      <c r="A50" s="0" t="s">
        <v>164</v>
      </c>
      <c r="B50" s="0" t="s">
        <v>140</v>
      </c>
      <c r="C50" s="0" t="n">
        <v>1.05</v>
      </c>
      <c r="D50" s="0" t="n">
        <v>1.1</v>
      </c>
      <c r="E50" s="0" t="n">
        <v>1.15</v>
      </c>
      <c r="F50" s="0" t="n">
        <v>1.2</v>
      </c>
      <c r="G50" s="0" t="s">
        <v>141</v>
      </c>
    </row>
    <row r="51" customFormat="false" ht="15" hidden="false" customHeight="false" outlineLevel="0" collapsed="false">
      <c r="A51" s="0" t="s">
        <v>164</v>
      </c>
      <c r="B51" s="0" t="s">
        <v>142</v>
      </c>
      <c r="C51" s="0" t="n">
        <v>0.95</v>
      </c>
      <c r="D51" s="0" t="n">
        <v>1</v>
      </c>
      <c r="E51" s="0" t="n">
        <v>1.05</v>
      </c>
      <c r="F51" s="0" t="n">
        <v>1.1</v>
      </c>
      <c r="G51" s="0" t="s">
        <v>141</v>
      </c>
    </row>
    <row r="52" customFormat="false" ht="15" hidden="false" customHeight="false" outlineLevel="0" collapsed="false">
      <c r="A52" s="0" t="s">
        <v>165</v>
      </c>
      <c r="B52" s="0" t="s">
        <v>140</v>
      </c>
      <c r="C52" s="0" t="n">
        <v>0.95</v>
      </c>
      <c r="D52" s="0" t="n">
        <v>1</v>
      </c>
      <c r="E52" s="0" t="n">
        <v>1.05</v>
      </c>
      <c r="F52" s="0" t="n">
        <v>1.1</v>
      </c>
      <c r="G52" s="0" t="s">
        <v>141</v>
      </c>
    </row>
    <row r="53" customFormat="false" ht="15" hidden="false" customHeight="false" outlineLevel="0" collapsed="false">
      <c r="A53" s="0" t="s">
        <v>165</v>
      </c>
      <c r="B53" s="0" t="s">
        <v>142</v>
      </c>
      <c r="C53" s="0" t="n">
        <v>0.8</v>
      </c>
      <c r="D53" s="0" t="n">
        <v>0.85</v>
      </c>
      <c r="E53" s="0" t="n">
        <v>0.85</v>
      </c>
      <c r="F53" s="0" t="n">
        <v>0.9</v>
      </c>
      <c r="G53" s="0" t="s">
        <v>141</v>
      </c>
    </row>
    <row r="54" customFormat="false" ht="15" hidden="false" customHeight="false" outlineLevel="0" collapsed="false">
      <c r="A54" s="23" t="s">
        <v>166</v>
      </c>
      <c r="B54" s="24" t="s">
        <v>140</v>
      </c>
      <c r="C54" s="0" t="n">
        <v>1.05</v>
      </c>
      <c r="D54" s="0" t="n">
        <v>1.1</v>
      </c>
      <c r="E54" s="0" t="n">
        <v>1.15</v>
      </c>
      <c r="F54" s="0" t="n">
        <v>1.2</v>
      </c>
      <c r="G54" s="24" t="s">
        <v>144</v>
      </c>
    </row>
    <row r="55" customFormat="false" ht="15" hidden="false" customHeight="false" outlineLevel="0" collapsed="false">
      <c r="A55" s="0" t="s">
        <v>166</v>
      </c>
      <c r="B55" s="0" t="s">
        <v>142</v>
      </c>
      <c r="C55" s="0" t="n">
        <v>0.7</v>
      </c>
      <c r="D55" s="0" t="n">
        <v>0.7</v>
      </c>
      <c r="E55" s="0" t="n">
        <v>0.75</v>
      </c>
      <c r="F55" s="0" t="n">
        <v>0.75</v>
      </c>
      <c r="G55" s="0" t="s">
        <v>141</v>
      </c>
    </row>
    <row r="56" customFormat="false" ht="15" hidden="false" customHeight="false" outlineLevel="0" collapsed="false">
      <c r="A56" s="0" t="s">
        <v>167</v>
      </c>
      <c r="B56" s="0" t="s">
        <v>140</v>
      </c>
      <c r="C56" s="0" t="n">
        <v>0.8</v>
      </c>
      <c r="D56" s="0" t="n">
        <v>0.8</v>
      </c>
      <c r="E56" s="0" t="n">
        <v>0.85</v>
      </c>
      <c r="F56" s="0" t="n">
        <v>0.9</v>
      </c>
      <c r="G56" s="0" t="s">
        <v>141</v>
      </c>
    </row>
    <row r="57" customFormat="false" ht="15" hidden="false" customHeight="false" outlineLevel="0" collapsed="false">
      <c r="A57" s="0" t="s">
        <v>167</v>
      </c>
      <c r="B57" s="0" t="s">
        <v>142</v>
      </c>
      <c r="C57" s="0" t="n">
        <v>0.75</v>
      </c>
      <c r="D57" s="0" t="n">
        <v>0.75</v>
      </c>
      <c r="E57" s="0" t="n">
        <v>0.8</v>
      </c>
      <c r="F57" s="0" t="n">
        <v>0.85</v>
      </c>
      <c r="G57" s="0" t="s">
        <v>141</v>
      </c>
    </row>
    <row r="58" customFormat="false" ht="15" hidden="false" customHeight="false" outlineLevel="0" collapsed="false">
      <c r="A58" s="0" t="s">
        <v>168</v>
      </c>
      <c r="B58" s="0" t="s">
        <v>140</v>
      </c>
      <c r="C58" s="0" t="n">
        <v>1.05</v>
      </c>
      <c r="D58" s="0" t="n">
        <v>1.1</v>
      </c>
      <c r="E58" s="0" t="n">
        <v>1.15</v>
      </c>
      <c r="F58" s="0" t="n">
        <v>1.2</v>
      </c>
      <c r="G58" s="0" t="s">
        <v>141</v>
      </c>
    </row>
    <row r="59" customFormat="false" ht="15" hidden="false" customHeight="false" outlineLevel="0" collapsed="false">
      <c r="A59" s="0" t="s">
        <v>168</v>
      </c>
      <c r="B59" s="0" t="s">
        <v>142</v>
      </c>
      <c r="C59" s="0" t="n">
        <v>0.25</v>
      </c>
      <c r="D59" s="0" t="n">
        <v>0.25</v>
      </c>
      <c r="E59" s="0" t="n">
        <v>0.2</v>
      </c>
      <c r="F59" s="0" t="n">
        <v>0.2</v>
      </c>
      <c r="G59" s="0" t="s">
        <v>141</v>
      </c>
    </row>
    <row r="60" customFormat="false" ht="15" hidden="false" customHeight="false" outlineLevel="0" collapsed="false">
      <c r="A60" s="0" t="s">
        <v>126</v>
      </c>
      <c r="B60" s="0" t="s">
        <v>140</v>
      </c>
      <c r="C60" s="0" t="n">
        <v>1</v>
      </c>
      <c r="D60" s="0" t="n">
        <v>1.05</v>
      </c>
      <c r="E60" s="0" t="n">
        <v>1.1</v>
      </c>
      <c r="F60" s="0" t="n">
        <v>1.15</v>
      </c>
      <c r="G60" s="0" t="s">
        <v>141</v>
      </c>
    </row>
    <row r="61" customFormat="false" ht="15" hidden="false" customHeight="false" outlineLevel="0" collapsed="false">
      <c r="A61" s="0" t="s">
        <v>126</v>
      </c>
      <c r="B61" s="0" t="s">
        <v>142</v>
      </c>
      <c r="C61" s="0" t="n">
        <v>0.5</v>
      </c>
      <c r="D61" s="0" t="n">
        <v>0.5</v>
      </c>
      <c r="E61" s="0" t="n">
        <v>0.55</v>
      </c>
      <c r="F61" s="0" t="n">
        <v>0.55</v>
      </c>
      <c r="G61" s="0" t="s">
        <v>141</v>
      </c>
    </row>
    <row r="62" customFormat="false" ht="15" hidden="false" customHeight="false" outlineLevel="0" collapsed="false">
      <c r="A62" s="0" t="s">
        <v>97</v>
      </c>
      <c r="B62" s="0" t="s">
        <v>140</v>
      </c>
      <c r="C62" s="0" t="n">
        <v>1</v>
      </c>
      <c r="D62" s="0" t="n">
        <v>1.05</v>
      </c>
      <c r="E62" s="0" t="n">
        <v>1.1</v>
      </c>
      <c r="F62" s="0" t="n">
        <v>1.15</v>
      </c>
      <c r="G62" s="0" t="s">
        <v>141</v>
      </c>
    </row>
    <row r="63" customFormat="false" ht="15" hidden="false" customHeight="false" outlineLevel="0" collapsed="false">
      <c r="A63" s="0" t="s">
        <v>97</v>
      </c>
      <c r="B63" s="0" t="s">
        <v>142</v>
      </c>
      <c r="C63" s="0" t="n">
        <v>0.45</v>
      </c>
      <c r="D63" s="0" t="n">
        <v>0.45</v>
      </c>
      <c r="E63" s="0" t="n">
        <v>0.45</v>
      </c>
      <c r="F63" s="0" t="n">
        <v>0.45</v>
      </c>
      <c r="G63" s="0" t="s">
        <v>141</v>
      </c>
    </row>
    <row r="64" customFormat="false" ht="15" hidden="false" customHeight="false" outlineLevel="0" collapsed="false">
      <c r="A64" s="0" t="s">
        <v>169</v>
      </c>
      <c r="B64" s="0" t="s">
        <v>140</v>
      </c>
      <c r="C64" s="0" t="n">
        <v>0.95</v>
      </c>
      <c r="D64" s="0" t="n">
        <v>0.95</v>
      </c>
      <c r="E64" s="0" t="n">
        <v>1</v>
      </c>
      <c r="F64" s="0" t="n">
        <v>1.05</v>
      </c>
      <c r="G64" s="0" t="s">
        <v>141</v>
      </c>
    </row>
    <row r="65" customFormat="false" ht="15" hidden="false" customHeight="false" outlineLevel="0" collapsed="false">
      <c r="A65" s="0" t="s">
        <v>169</v>
      </c>
      <c r="B65" s="0" t="s">
        <v>142</v>
      </c>
      <c r="C65" s="0" t="n">
        <v>0.9</v>
      </c>
      <c r="D65" s="0" t="n">
        <v>0.9</v>
      </c>
      <c r="E65" s="0" t="n">
        <v>0.95</v>
      </c>
      <c r="F65" s="0" t="n">
        <v>1</v>
      </c>
      <c r="G65" s="0" t="s">
        <v>141</v>
      </c>
    </row>
    <row r="66" customFormat="false" ht="15" hidden="false" customHeight="false" outlineLevel="0" collapsed="false">
      <c r="A66" s="0" t="s">
        <v>170</v>
      </c>
      <c r="B66" s="0" t="s">
        <v>140</v>
      </c>
      <c r="C66" s="0" t="n">
        <v>0.9</v>
      </c>
      <c r="D66" s="0" t="n">
        <v>0.9</v>
      </c>
      <c r="E66" s="0" t="n">
        <v>0.95</v>
      </c>
      <c r="F66" s="0" t="n">
        <v>1</v>
      </c>
      <c r="G66" s="0" t="s">
        <v>141</v>
      </c>
    </row>
    <row r="67" customFormat="false" ht="15" hidden="false" customHeight="false" outlineLevel="0" collapsed="false">
      <c r="A67" s="0" t="s">
        <v>170</v>
      </c>
      <c r="B67" s="0" t="s">
        <v>142</v>
      </c>
      <c r="C67" s="0" t="n">
        <v>0.7</v>
      </c>
      <c r="D67" s="0" t="n">
        <v>0.7</v>
      </c>
      <c r="E67" s="0" t="n">
        <v>0.75</v>
      </c>
      <c r="F67" s="0" t="n">
        <v>0.8</v>
      </c>
      <c r="G67" s="0" t="s">
        <v>141</v>
      </c>
    </row>
    <row r="68" customFormat="false" ht="15" hidden="false" customHeight="false" outlineLevel="0" collapsed="false">
      <c r="A68" s="0" t="s">
        <v>89</v>
      </c>
      <c r="B68" s="0" t="s">
        <v>140</v>
      </c>
      <c r="C68" s="0" t="n">
        <v>1.05</v>
      </c>
      <c r="D68" s="0" t="n">
        <v>1.1</v>
      </c>
      <c r="E68" s="0" t="n">
        <v>1.15</v>
      </c>
      <c r="F68" s="0" t="n">
        <v>1.2</v>
      </c>
      <c r="G68" s="0" t="s">
        <v>141</v>
      </c>
    </row>
    <row r="69" customFormat="false" ht="15" hidden="false" customHeight="false" outlineLevel="0" collapsed="false">
      <c r="A69" s="0" t="s">
        <v>89</v>
      </c>
      <c r="B69" s="0" t="s">
        <v>142</v>
      </c>
      <c r="C69" s="0" t="n">
        <v>0.9</v>
      </c>
      <c r="D69" s="0" t="n">
        <v>0.95</v>
      </c>
      <c r="E69" s="0" t="n">
        <v>1</v>
      </c>
      <c r="F69" s="0" t="n">
        <v>1</v>
      </c>
      <c r="G69" s="0" t="s">
        <v>141</v>
      </c>
    </row>
    <row r="70" customFormat="false" ht="15" hidden="false" customHeight="false" outlineLevel="0" collapsed="false">
      <c r="A70" s="0" t="s">
        <v>171</v>
      </c>
      <c r="B70" s="0" t="s">
        <v>140</v>
      </c>
      <c r="C70" s="0" t="n">
        <v>1.05</v>
      </c>
      <c r="D70" s="0" t="n">
        <v>1.1</v>
      </c>
      <c r="E70" s="0" t="n">
        <v>1.15</v>
      </c>
      <c r="F70" s="0" t="n">
        <v>1.2</v>
      </c>
      <c r="G70" s="0" t="s">
        <v>141</v>
      </c>
    </row>
    <row r="71" customFormat="false" ht="15" hidden="false" customHeight="false" outlineLevel="0" collapsed="false">
      <c r="A71" s="0" t="s">
        <v>171</v>
      </c>
      <c r="B71" s="0" t="s">
        <v>142</v>
      </c>
      <c r="C71" s="0" t="n">
        <v>0.4</v>
      </c>
      <c r="D71" s="0" t="n">
        <v>0.4</v>
      </c>
      <c r="E71" s="0" t="n">
        <v>0.35</v>
      </c>
      <c r="F71" s="0" t="n">
        <v>0.35</v>
      </c>
      <c r="G71" s="0" t="s">
        <v>141</v>
      </c>
    </row>
    <row r="72" customFormat="false" ht="15" hidden="false" customHeight="false" outlineLevel="0" collapsed="false">
      <c r="A72" s="0" t="s">
        <v>84</v>
      </c>
      <c r="B72" s="0" t="s">
        <v>140</v>
      </c>
      <c r="C72" s="0" t="n">
        <v>1.05</v>
      </c>
      <c r="D72" s="0" t="n">
        <v>1.1</v>
      </c>
      <c r="E72" s="0" t="n">
        <v>1.2</v>
      </c>
      <c r="F72" s="0" t="n">
        <v>1.25</v>
      </c>
      <c r="G72" s="0" t="s">
        <v>141</v>
      </c>
    </row>
    <row r="73" customFormat="false" ht="15" hidden="false" customHeight="false" outlineLevel="0" collapsed="false">
      <c r="A73" s="0" t="s">
        <v>84</v>
      </c>
      <c r="B73" s="0" t="s">
        <v>142</v>
      </c>
      <c r="C73" s="0" t="n">
        <v>0.6</v>
      </c>
      <c r="D73" s="0" t="n">
        <v>0.6</v>
      </c>
      <c r="E73" s="0" t="n">
        <v>0.65</v>
      </c>
      <c r="F73" s="0" t="n">
        <v>0.65</v>
      </c>
      <c r="G73" s="0" t="s">
        <v>141</v>
      </c>
    </row>
    <row r="74" customFormat="false" ht="15" hidden="false" customHeight="false" outlineLevel="0" collapsed="false">
      <c r="A74" s="0" t="s">
        <v>75</v>
      </c>
      <c r="B74" s="0" t="s">
        <v>140</v>
      </c>
      <c r="C74" s="0" t="n">
        <v>1.05</v>
      </c>
      <c r="D74" s="0" t="n">
        <v>1.1</v>
      </c>
      <c r="E74" s="0" t="n">
        <v>1.15</v>
      </c>
      <c r="F74" s="0" t="n">
        <v>1.2</v>
      </c>
      <c r="G74" s="0" t="s">
        <v>141</v>
      </c>
    </row>
    <row r="75" customFormat="false" ht="15" hidden="false" customHeight="false" outlineLevel="0" collapsed="false">
      <c r="A75" s="0" t="s">
        <v>75</v>
      </c>
      <c r="B75" s="0" t="s">
        <v>142</v>
      </c>
      <c r="C75" s="0" t="n">
        <v>0.25</v>
      </c>
      <c r="D75" s="0" t="n">
        <v>0.25</v>
      </c>
      <c r="E75" s="0" t="n">
        <v>0.2</v>
      </c>
      <c r="F75" s="0" t="n">
        <v>0.2</v>
      </c>
      <c r="G75" s="0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6" t="s">
        <v>66</v>
      </c>
      <c r="B1" s="6" t="s">
        <v>172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  <c r="H1" s="6" t="s">
        <v>74</v>
      </c>
    </row>
    <row r="2" customFormat="false" ht="15" hidden="false" customHeight="false" outlineLevel="0" collapsed="false">
      <c r="A2" s="22" t="s">
        <v>178</v>
      </c>
      <c r="B2" s="22" t="s">
        <v>179</v>
      </c>
      <c r="C2" s="22" t="n">
        <v>15</v>
      </c>
      <c r="D2" s="22" t="n">
        <v>25</v>
      </c>
      <c r="E2" s="22" t="n">
        <v>50</v>
      </c>
      <c r="F2" s="22" t="n">
        <v>30</v>
      </c>
      <c r="G2" s="22" t="n">
        <v>120</v>
      </c>
      <c r="H2" s="22" t="s">
        <v>180</v>
      </c>
    </row>
    <row r="3" customFormat="false" ht="15" hidden="false" customHeight="false" outlineLevel="0" collapsed="false">
      <c r="A3" s="22" t="s">
        <v>178</v>
      </c>
      <c r="B3" s="22" t="s">
        <v>181</v>
      </c>
      <c r="C3" s="22" t="n">
        <v>15</v>
      </c>
      <c r="D3" s="22" t="n">
        <v>30</v>
      </c>
      <c r="E3" s="22" t="n">
        <v>65</v>
      </c>
      <c r="F3" s="22" t="n">
        <v>40</v>
      </c>
      <c r="G3" s="22" t="n">
        <v>150</v>
      </c>
      <c r="H3" s="22" t="s">
        <v>180</v>
      </c>
    </row>
    <row r="4" customFormat="false" ht="15" hidden="false" customHeight="false" outlineLevel="0" collapsed="false">
      <c r="A4" s="22" t="s">
        <v>143</v>
      </c>
      <c r="B4" s="22" t="s">
        <v>182</v>
      </c>
      <c r="C4" s="22" t="n">
        <v>15</v>
      </c>
      <c r="D4" s="22" t="n">
        <v>25</v>
      </c>
      <c r="E4" s="22" t="n">
        <v>25</v>
      </c>
      <c r="F4" s="22" t="n">
        <v>10</v>
      </c>
      <c r="G4" s="22" t="n">
        <v>75</v>
      </c>
      <c r="H4" s="22" t="s">
        <v>180</v>
      </c>
    </row>
    <row r="5" customFormat="false" ht="15" hidden="false" customHeight="false" outlineLevel="0" collapsed="false">
      <c r="A5" s="22" t="s">
        <v>143</v>
      </c>
      <c r="B5" s="22" t="s">
        <v>183</v>
      </c>
      <c r="C5" s="22" t="n">
        <v>20</v>
      </c>
      <c r="D5" s="22" t="n">
        <v>30</v>
      </c>
      <c r="E5" s="22" t="n">
        <v>30</v>
      </c>
      <c r="F5" s="22" t="n">
        <v>10</v>
      </c>
      <c r="G5" s="22" t="n">
        <v>90</v>
      </c>
      <c r="H5" s="22" t="s">
        <v>180</v>
      </c>
    </row>
    <row r="6" customFormat="false" ht="15" hidden="false" customHeight="false" outlineLevel="0" collapsed="false">
      <c r="A6" s="22" t="s">
        <v>85</v>
      </c>
      <c r="B6" s="22" t="s">
        <v>184</v>
      </c>
      <c r="C6" s="22" t="n">
        <v>30</v>
      </c>
      <c r="D6" s="22" t="n">
        <v>50</v>
      </c>
      <c r="E6" s="22" t="n">
        <v>60</v>
      </c>
      <c r="F6" s="22" t="n">
        <v>55</v>
      </c>
      <c r="G6" s="22" t="n">
        <v>195</v>
      </c>
      <c r="H6" s="22" t="s">
        <v>180</v>
      </c>
    </row>
    <row r="7" customFormat="false" ht="15" hidden="false" customHeight="false" outlineLevel="0" collapsed="false">
      <c r="A7" s="22" t="s">
        <v>85</v>
      </c>
      <c r="B7" s="22" t="s">
        <v>185</v>
      </c>
      <c r="C7" s="22" t="n">
        <v>30</v>
      </c>
      <c r="D7" s="22" t="n">
        <v>50</v>
      </c>
      <c r="E7" s="22" t="n">
        <v>55</v>
      </c>
      <c r="F7" s="22" t="n">
        <v>45</v>
      </c>
      <c r="G7" s="22" t="n">
        <v>180</v>
      </c>
      <c r="H7" s="22" t="s">
        <v>180</v>
      </c>
    </row>
    <row r="8" customFormat="false" ht="15" hidden="false" customHeight="false" outlineLevel="0" collapsed="false">
      <c r="A8" s="22" t="s">
        <v>186</v>
      </c>
      <c r="B8" s="22" t="s">
        <v>187</v>
      </c>
      <c r="C8" s="22" t="n">
        <v>20</v>
      </c>
      <c r="D8" s="22" t="n">
        <v>30</v>
      </c>
      <c r="E8" s="22" t="n">
        <v>40</v>
      </c>
      <c r="F8" s="22" t="n">
        <v>15</v>
      </c>
      <c r="G8" s="22" t="n">
        <v>105</v>
      </c>
      <c r="H8" s="22" t="s">
        <v>180</v>
      </c>
    </row>
    <row r="9" customFormat="false" ht="15" hidden="false" customHeight="false" outlineLevel="0" collapsed="false">
      <c r="A9" s="22" t="s">
        <v>188</v>
      </c>
      <c r="B9" s="22" t="s">
        <v>189</v>
      </c>
      <c r="C9" s="22" t="n">
        <v>20</v>
      </c>
      <c r="D9" s="22" t="n">
        <v>35</v>
      </c>
      <c r="E9" s="22" t="n">
        <v>40</v>
      </c>
      <c r="F9" s="22" t="n">
        <v>30</v>
      </c>
      <c r="G9" s="22" t="n">
        <v>125</v>
      </c>
      <c r="H9" s="22" t="s">
        <v>180</v>
      </c>
    </row>
    <row r="10" customFormat="false" ht="15" hidden="false" customHeight="false" outlineLevel="0" collapsed="false">
      <c r="A10" s="22" t="s">
        <v>188</v>
      </c>
      <c r="B10" s="22" t="s">
        <v>190</v>
      </c>
      <c r="C10" s="22" t="n">
        <v>30</v>
      </c>
      <c r="D10" s="22" t="n">
        <v>40</v>
      </c>
      <c r="E10" s="22" t="n">
        <v>50</v>
      </c>
      <c r="F10" s="22" t="n">
        <v>30</v>
      </c>
      <c r="G10" s="22" t="n">
        <v>150</v>
      </c>
      <c r="H10" s="22" t="s">
        <v>180</v>
      </c>
    </row>
    <row r="11" customFormat="false" ht="15" hidden="false" customHeight="false" outlineLevel="0" collapsed="false">
      <c r="A11" s="22" t="s">
        <v>89</v>
      </c>
      <c r="B11" s="22" t="s">
        <v>191</v>
      </c>
      <c r="C11" s="22" t="n">
        <v>30</v>
      </c>
      <c r="D11" s="22" t="n">
        <v>45</v>
      </c>
      <c r="E11" s="22" t="n">
        <v>60</v>
      </c>
      <c r="F11" s="22" t="n">
        <v>45</v>
      </c>
      <c r="G11" s="22" t="n">
        <v>180</v>
      </c>
      <c r="H11" s="22" t="s">
        <v>180</v>
      </c>
    </row>
    <row r="12" customFormat="false" ht="15" hidden="false" customHeight="false" outlineLevel="0" collapsed="false">
      <c r="A12" s="22" t="s">
        <v>89</v>
      </c>
      <c r="B12" s="22" t="s">
        <v>192</v>
      </c>
      <c r="C12" s="22" t="n">
        <v>35</v>
      </c>
      <c r="D12" s="22" t="n">
        <v>60</v>
      </c>
      <c r="E12" s="22" t="n">
        <v>70</v>
      </c>
      <c r="F12" s="22" t="n">
        <v>40</v>
      </c>
      <c r="G12" s="22" t="n">
        <v>205</v>
      </c>
      <c r="H12" s="22" t="s">
        <v>180</v>
      </c>
    </row>
    <row r="13" customFormat="false" ht="15" hidden="false" customHeight="false" outlineLevel="0" collapsed="false">
      <c r="A13" s="22" t="s">
        <v>96</v>
      </c>
      <c r="B13" s="22" t="s">
        <v>193</v>
      </c>
      <c r="C13" s="22" t="n">
        <v>15</v>
      </c>
      <c r="D13" s="22" t="n">
        <v>25</v>
      </c>
      <c r="E13" s="22" t="n">
        <v>70</v>
      </c>
      <c r="F13" s="22" t="n">
        <v>40</v>
      </c>
      <c r="G13" s="22" t="n">
        <v>150</v>
      </c>
      <c r="H13" s="22" t="s">
        <v>180</v>
      </c>
    </row>
    <row r="14" customFormat="false" ht="15" hidden="false" customHeight="false" outlineLevel="0" collapsed="false">
      <c r="A14" s="22" t="s">
        <v>194</v>
      </c>
      <c r="B14" s="22" t="s">
        <v>195</v>
      </c>
      <c r="C14" s="22" t="n">
        <v>25</v>
      </c>
      <c r="D14" s="22" t="n">
        <v>30</v>
      </c>
      <c r="E14" s="22" t="n">
        <v>30</v>
      </c>
      <c r="F14" s="22" t="n">
        <v>20</v>
      </c>
      <c r="G14" s="22" t="n">
        <v>105</v>
      </c>
      <c r="H14" s="22" t="s">
        <v>180</v>
      </c>
    </row>
    <row r="15" customFormat="false" ht="15" hidden="false" customHeight="false" outlineLevel="0" collapsed="false">
      <c r="A15" s="22" t="s">
        <v>84</v>
      </c>
      <c r="B15" s="22" t="s">
        <v>196</v>
      </c>
      <c r="C15" s="22" t="n">
        <v>30</v>
      </c>
      <c r="D15" s="22" t="n">
        <v>40</v>
      </c>
      <c r="E15" s="22" t="n">
        <v>40</v>
      </c>
      <c r="F15" s="22" t="n">
        <v>25</v>
      </c>
      <c r="G15" s="22" t="n">
        <v>135</v>
      </c>
      <c r="H15" s="22" t="s">
        <v>180</v>
      </c>
    </row>
    <row r="16" customFormat="false" ht="15" hidden="false" customHeight="false" outlineLevel="0" collapsed="false">
      <c r="A16" s="22" t="s">
        <v>84</v>
      </c>
      <c r="B16" s="22" t="s">
        <v>193</v>
      </c>
      <c r="C16" s="22" t="n">
        <v>30</v>
      </c>
      <c r="D16" s="22" t="n">
        <v>40</v>
      </c>
      <c r="E16" s="22" t="n">
        <v>45</v>
      </c>
      <c r="F16" s="22" t="n">
        <v>30</v>
      </c>
      <c r="G16" s="22" t="n">
        <v>145</v>
      </c>
      <c r="H16" s="22" t="s">
        <v>180</v>
      </c>
    </row>
    <row r="17" customFormat="false" ht="15" hidden="false" customHeight="false" outlineLevel="0" collapsed="false">
      <c r="A17" s="22" t="s">
        <v>126</v>
      </c>
      <c r="B17" s="22" t="s">
        <v>197</v>
      </c>
      <c r="C17" s="22" t="n">
        <v>20</v>
      </c>
      <c r="D17" s="22" t="n">
        <v>30</v>
      </c>
      <c r="E17" s="22" t="n">
        <v>40</v>
      </c>
      <c r="F17" s="22" t="n">
        <v>30</v>
      </c>
      <c r="G17" s="22" t="n">
        <v>120</v>
      </c>
      <c r="H17" s="22" t="s">
        <v>180</v>
      </c>
    </row>
    <row r="18" customFormat="false" ht="15" hidden="false" customHeight="false" outlineLevel="0" collapsed="false">
      <c r="A18" s="22" t="s">
        <v>97</v>
      </c>
      <c r="B18" s="22" t="s">
        <v>198</v>
      </c>
      <c r="C18" s="22" t="n">
        <v>20</v>
      </c>
      <c r="D18" s="22" t="n">
        <v>30</v>
      </c>
      <c r="E18" s="22" t="n">
        <v>60</v>
      </c>
      <c r="F18" s="22" t="n">
        <v>25</v>
      </c>
      <c r="G18" s="22" t="n">
        <v>135</v>
      </c>
      <c r="H18" s="22" t="s">
        <v>180</v>
      </c>
    </row>
    <row r="19" customFormat="false" ht="15" hidden="false" customHeight="false" outlineLevel="0" collapsed="false">
      <c r="A19" s="22" t="s">
        <v>171</v>
      </c>
      <c r="B19" s="22" t="s">
        <v>199</v>
      </c>
      <c r="C19" s="22" t="n">
        <v>25</v>
      </c>
      <c r="D19" s="22" t="n">
        <v>35</v>
      </c>
      <c r="E19" s="22" t="n">
        <v>45</v>
      </c>
      <c r="F19" s="22" t="n">
        <v>25</v>
      </c>
      <c r="G19" s="22" t="n">
        <v>130</v>
      </c>
      <c r="H19" s="22" t="s">
        <v>180</v>
      </c>
    </row>
    <row r="20" customFormat="false" ht="15" hidden="false" customHeight="false" outlineLevel="0" collapsed="false">
      <c r="A20" s="22" t="s">
        <v>163</v>
      </c>
      <c r="B20" s="22" t="s">
        <v>200</v>
      </c>
      <c r="C20" s="22" t="n">
        <v>25</v>
      </c>
      <c r="D20" s="22" t="n">
        <v>35</v>
      </c>
      <c r="E20" s="22" t="n">
        <v>45</v>
      </c>
      <c r="F20" s="22" t="n">
        <v>25</v>
      </c>
      <c r="G20" s="22" t="n">
        <v>130</v>
      </c>
      <c r="H20" s="22" t="s">
        <v>180</v>
      </c>
    </row>
    <row r="22" customFormat="false" ht="15" hidden="false" customHeight="false" outlineLevel="0" collapsed="false">
      <c r="A22" s="25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55"/>
  </cols>
  <sheetData>
    <row r="1" customFormat="false" ht="26.85" hidden="false" customHeight="false" outlineLevel="0" collapsed="false">
      <c r="A1" s="6" t="s">
        <v>66</v>
      </c>
      <c r="B1" s="6" t="s">
        <v>67</v>
      </c>
      <c r="C1" s="6" t="s">
        <v>202</v>
      </c>
      <c r="D1" s="6" t="s">
        <v>203</v>
      </c>
      <c r="E1" s="6" t="s">
        <v>204</v>
      </c>
      <c r="F1" s="6" t="s">
        <v>205</v>
      </c>
      <c r="G1" s="6" t="s">
        <v>206</v>
      </c>
      <c r="H1" s="6" t="s">
        <v>74</v>
      </c>
    </row>
    <row r="2" customFormat="false" ht="15" hidden="false" customHeight="false" outlineLevel="0" collapsed="false">
      <c r="A2" s="22" t="s">
        <v>84</v>
      </c>
      <c r="B2" s="22" t="s">
        <v>207</v>
      </c>
      <c r="C2" s="22" t="s">
        <v>208</v>
      </c>
      <c r="D2" s="22" t="s">
        <v>209</v>
      </c>
      <c r="E2" s="22" t="s">
        <v>210</v>
      </c>
      <c r="F2" s="22" t="n">
        <v>711</v>
      </c>
      <c r="G2" s="26" t="n">
        <f aca="false">F2*10*0.42</f>
        <v>2986.2</v>
      </c>
      <c r="H2" s="22" t="s">
        <v>211</v>
      </c>
    </row>
    <row r="3" customFormat="false" ht="15" hidden="false" customHeight="false" outlineLevel="0" collapsed="false">
      <c r="A3" s="22" t="s">
        <v>85</v>
      </c>
      <c r="B3" s="22" t="s">
        <v>207</v>
      </c>
      <c r="C3" s="22" t="s">
        <v>208</v>
      </c>
      <c r="D3" s="22" t="s">
        <v>209</v>
      </c>
      <c r="E3" s="22" t="s">
        <v>210</v>
      </c>
      <c r="F3" s="22" t="n">
        <v>884</v>
      </c>
      <c r="G3" s="26" t="n">
        <f aca="false">F3*10*0.42</f>
        <v>3712.8</v>
      </c>
      <c r="H3" s="22" t="s">
        <v>211</v>
      </c>
    </row>
    <row r="4" customFormat="false" ht="15" hidden="false" customHeight="false" outlineLevel="0" collapsed="false">
      <c r="A4" s="22" t="s">
        <v>89</v>
      </c>
      <c r="B4" s="22" t="s">
        <v>207</v>
      </c>
      <c r="C4" s="22" t="s">
        <v>208</v>
      </c>
      <c r="D4" s="22" t="s">
        <v>209</v>
      </c>
      <c r="E4" s="22" t="s">
        <v>210</v>
      </c>
      <c r="F4" s="22" t="n">
        <v>506</v>
      </c>
      <c r="G4" s="26" t="n">
        <f aca="false">F4*10*0.42</f>
        <v>2125.2</v>
      </c>
      <c r="H4" s="22" t="s">
        <v>211</v>
      </c>
    </row>
    <row r="5" customFormat="false" ht="15" hidden="false" customHeight="false" outlineLevel="0" collapsed="false">
      <c r="A5" s="22" t="s">
        <v>88</v>
      </c>
      <c r="B5" s="22" t="s">
        <v>207</v>
      </c>
      <c r="C5" s="22" t="s">
        <v>208</v>
      </c>
      <c r="D5" s="22" t="s">
        <v>209</v>
      </c>
      <c r="E5" s="22" t="s">
        <v>210</v>
      </c>
      <c r="F5" s="22" t="n">
        <v>576</v>
      </c>
      <c r="G5" s="26" t="n">
        <f aca="false">F5*10*0.42</f>
        <v>2419.2</v>
      </c>
      <c r="H5" s="22" t="s">
        <v>211</v>
      </c>
    </row>
    <row r="6" customFormat="false" ht="15" hidden="false" customHeight="false" outlineLevel="0" collapsed="false">
      <c r="A6" s="22" t="s">
        <v>83</v>
      </c>
      <c r="B6" s="22" t="s">
        <v>212</v>
      </c>
      <c r="C6" s="22" t="s">
        <v>213</v>
      </c>
      <c r="D6" s="22" t="s">
        <v>214</v>
      </c>
      <c r="E6" s="22" t="s">
        <v>215</v>
      </c>
      <c r="F6" s="22" t="n">
        <v>702</v>
      </c>
      <c r="G6" s="26" t="n">
        <f aca="false">F6*10*0.42</f>
        <v>2948.4</v>
      </c>
      <c r="H6" s="22" t="s">
        <v>211</v>
      </c>
    </row>
    <row r="7" customFormat="false" ht="15" hidden="false" customHeight="false" outlineLevel="0" collapsed="false">
      <c r="A7" s="22" t="s">
        <v>81</v>
      </c>
      <c r="B7" s="22" t="s">
        <v>212</v>
      </c>
      <c r="C7" s="22" t="s">
        <v>213</v>
      </c>
      <c r="D7" s="22" t="s">
        <v>214</v>
      </c>
      <c r="E7" s="22" t="s">
        <v>215</v>
      </c>
      <c r="F7" s="22" t="n">
        <v>267</v>
      </c>
      <c r="G7" s="26" t="n">
        <f aca="false">F7*10*0.42</f>
        <v>1121.4</v>
      </c>
      <c r="H7" s="22" t="s">
        <v>211</v>
      </c>
    </row>
    <row r="8" customFormat="false" ht="15" hidden="false" customHeight="false" outlineLevel="0" collapsed="false">
      <c r="A8" s="22" t="s">
        <v>90</v>
      </c>
      <c r="B8" s="22" t="s">
        <v>212</v>
      </c>
      <c r="C8" s="22" t="s">
        <v>213</v>
      </c>
      <c r="D8" s="22" t="s">
        <v>214</v>
      </c>
      <c r="E8" s="22" t="s">
        <v>215</v>
      </c>
      <c r="F8" s="22" t="n">
        <v>211</v>
      </c>
      <c r="G8" s="26" t="n">
        <f aca="false">F8*10*0.42</f>
        <v>886.2</v>
      </c>
      <c r="H8" s="22" t="s">
        <v>211</v>
      </c>
    </row>
    <row r="9" customFormat="false" ht="15" hidden="false" customHeight="false" outlineLevel="0" collapsed="false">
      <c r="A9" s="22" t="s">
        <v>75</v>
      </c>
      <c r="B9" s="22" t="s">
        <v>212</v>
      </c>
      <c r="C9" s="22" t="s">
        <v>213</v>
      </c>
      <c r="D9" s="22" t="s">
        <v>214</v>
      </c>
      <c r="E9" s="22" t="s">
        <v>215</v>
      </c>
      <c r="F9" s="22" t="n">
        <v>263</v>
      </c>
      <c r="G9" s="26" t="n">
        <f aca="false">F9*10*0.42</f>
        <v>1104.6</v>
      </c>
      <c r="H9" s="22" t="s">
        <v>211</v>
      </c>
    </row>
    <row r="10" customFormat="false" ht="15" hidden="false" customHeight="false" outlineLevel="0" collapsed="false">
      <c r="A10" s="22" t="s">
        <v>84</v>
      </c>
      <c r="B10" s="22" t="s">
        <v>212</v>
      </c>
      <c r="C10" s="22" t="s">
        <v>213</v>
      </c>
      <c r="D10" s="22" t="s">
        <v>214</v>
      </c>
      <c r="E10" s="22" t="s">
        <v>215</v>
      </c>
      <c r="F10" s="22" t="n">
        <v>448</v>
      </c>
      <c r="G10" s="26" t="n">
        <f aca="false">F10*10*0.42</f>
        <v>1881.6</v>
      </c>
      <c r="H10" s="22" t="s">
        <v>211</v>
      </c>
    </row>
    <row r="11" customFormat="false" ht="15" hidden="false" customHeight="false" outlineLevel="0" collapsed="false">
      <c r="A11" s="22" t="s">
        <v>84</v>
      </c>
      <c r="B11" s="22" t="s">
        <v>207</v>
      </c>
      <c r="C11" s="22" t="s">
        <v>213</v>
      </c>
      <c r="D11" s="22" t="s">
        <v>214</v>
      </c>
      <c r="E11" s="22" t="s">
        <v>215</v>
      </c>
      <c r="F11" s="22" t="n">
        <v>884</v>
      </c>
      <c r="G11" s="26" t="n">
        <f aca="false">F11*10*0.42</f>
        <v>3712.8</v>
      </c>
      <c r="H11" s="22" t="s">
        <v>211</v>
      </c>
    </row>
    <row r="12" customFormat="false" ht="15" hidden="false" customHeight="false" outlineLevel="0" collapsed="false">
      <c r="A12" s="22" t="s">
        <v>85</v>
      </c>
      <c r="B12" s="22" t="s">
        <v>207</v>
      </c>
      <c r="C12" s="22" t="s">
        <v>213</v>
      </c>
      <c r="D12" s="22" t="s">
        <v>214</v>
      </c>
      <c r="E12" s="22" t="s">
        <v>215</v>
      </c>
      <c r="F12" s="22" t="n">
        <v>1107</v>
      </c>
      <c r="G12" s="26" t="n">
        <f aca="false">F12*10*0.42</f>
        <v>4649.4</v>
      </c>
      <c r="H12" s="22" t="s">
        <v>211</v>
      </c>
    </row>
    <row r="13" customFormat="false" ht="15" hidden="false" customHeight="false" outlineLevel="0" collapsed="false">
      <c r="A13" s="22" t="s">
        <v>89</v>
      </c>
      <c r="B13" s="22" t="s">
        <v>207</v>
      </c>
      <c r="C13" s="22" t="s">
        <v>213</v>
      </c>
      <c r="D13" s="22" t="s">
        <v>214</v>
      </c>
      <c r="E13" s="22" t="s">
        <v>215</v>
      </c>
      <c r="F13" s="22" t="n">
        <v>560</v>
      </c>
      <c r="G13" s="26" t="n">
        <f aca="false">F13*10*0.42</f>
        <v>2352</v>
      </c>
      <c r="H13" s="22" t="s">
        <v>211</v>
      </c>
    </row>
    <row r="14" customFormat="false" ht="15" hidden="false" customHeight="false" outlineLevel="0" collapsed="false">
      <c r="A14" s="22" t="s">
        <v>88</v>
      </c>
      <c r="B14" s="22" t="s">
        <v>207</v>
      </c>
      <c r="C14" s="22" t="s">
        <v>213</v>
      </c>
      <c r="D14" s="22" t="s">
        <v>214</v>
      </c>
      <c r="E14" s="22" t="s">
        <v>215</v>
      </c>
      <c r="F14" s="22" t="n">
        <v>810</v>
      </c>
      <c r="G14" s="26" t="n">
        <f aca="false">F14*10*0.42</f>
        <v>3402</v>
      </c>
      <c r="H14" s="22" t="s">
        <v>211</v>
      </c>
    </row>
    <row r="15" customFormat="false" ht="15" hidden="false" customHeight="false" outlineLevel="0" collapsed="false">
      <c r="A15" s="22" t="s">
        <v>83</v>
      </c>
      <c r="B15" s="22" t="s">
        <v>212</v>
      </c>
      <c r="C15" s="22" t="s">
        <v>208</v>
      </c>
      <c r="D15" s="22" t="s">
        <v>209</v>
      </c>
      <c r="E15" s="22" t="s">
        <v>210</v>
      </c>
      <c r="F15" s="22" t="n">
        <v>612</v>
      </c>
      <c r="G15" s="26" t="n">
        <f aca="false">F15*10*0.42</f>
        <v>2570.4</v>
      </c>
      <c r="H15" s="22" t="s">
        <v>211</v>
      </c>
    </row>
    <row r="16" customFormat="false" ht="15" hidden="false" customHeight="false" outlineLevel="0" collapsed="false">
      <c r="A16" s="22" t="s">
        <v>81</v>
      </c>
      <c r="B16" s="22" t="s">
        <v>212</v>
      </c>
      <c r="C16" s="22" t="s">
        <v>208</v>
      </c>
      <c r="D16" s="22" t="s">
        <v>209</v>
      </c>
      <c r="E16" s="22" t="s">
        <v>210</v>
      </c>
      <c r="F16" s="22" t="n">
        <v>283</v>
      </c>
      <c r="G16" s="26" t="n">
        <f aca="false">F16*10*0.42</f>
        <v>1188.6</v>
      </c>
      <c r="H16" s="22" t="s">
        <v>211</v>
      </c>
    </row>
    <row r="17" customFormat="false" ht="15" hidden="false" customHeight="false" outlineLevel="0" collapsed="false">
      <c r="A17" s="22" t="s">
        <v>85</v>
      </c>
      <c r="B17" s="22" t="s">
        <v>207</v>
      </c>
      <c r="C17" s="22" t="s">
        <v>208</v>
      </c>
      <c r="D17" s="22" t="s">
        <v>209</v>
      </c>
      <c r="E17" s="22" t="s">
        <v>210</v>
      </c>
      <c r="F17" s="22" t="n">
        <v>901</v>
      </c>
      <c r="G17" s="26" t="n">
        <f aca="false">F17*10*0.42</f>
        <v>3784.2</v>
      </c>
      <c r="H17" s="22" t="s">
        <v>211</v>
      </c>
    </row>
    <row r="19" customFormat="false" ht="15" hidden="false" customHeight="false" outlineLevel="0" collapsed="false">
      <c r="A19" s="25" t="s">
        <v>216</v>
      </c>
    </row>
    <row r="20" customFormat="false" ht="15" hidden="false" customHeight="false" outlineLevel="0" collapsed="false">
      <c r="A20" s="25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26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6.15" hidden="false" customHeight="false" outlineLevel="0" collapsed="false">
      <c r="A1" s="5" t="s">
        <v>218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7" t="s">
        <v>219</v>
      </c>
      <c r="B2" s="7"/>
      <c r="C2" s="7"/>
      <c r="D2" s="7"/>
      <c r="E2" s="7"/>
      <c r="F2" s="7"/>
    </row>
    <row r="4" customFormat="false" ht="26.85" hidden="false" customHeight="false" outlineLevel="0" collapsed="false">
      <c r="A4" s="6" t="s">
        <v>135</v>
      </c>
      <c r="B4" s="6" t="s">
        <v>220</v>
      </c>
      <c r="C4" s="6" t="s">
        <v>138</v>
      </c>
      <c r="D4" s="6" t="s">
        <v>221</v>
      </c>
      <c r="E4" s="6" t="s">
        <v>222</v>
      </c>
      <c r="F4" s="6" t="s">
        <v>22</v>
      </c>
    </row>
    <row r="5" customFormat="false" ht="45" hidden="false" customHeight="true" outlineLevel="0" collapsed="false">
      <c r="A5" s="22" t="s">
        <v>223</v>
      </c>
      <c r="B5" s="22" t="n">
        <v>15</v>
      </c>
      <c r="C5" s="22" t="n">
        <f aca="false">0.3</f>
        <v>0.3</v>
      </c>
      <c r="D5" s="10" t="n">
        <v>3</v>
      </c>
      <c r="E5" s="27" t="n">
        <f aca="false">C5*D5*B5</f>
        <v>13.5</v>
      </c>
      <c r="F5" s="28" t="s">
        <v>224</v>
      </c>
    </row>
    <row r="6" customFormat="false" ht="45" hidden="false" customHeight="true" outlineLevel="0" collapsed="false">
      <c r="A6" s="22" t="s">
        <v>225</v>
      </c>
      <c r="B6" s="22" t="n">
        <v>25</v>
      </c>
      <c r="C6" s="22" t="n">
        <f aca="false">(C5+C7)/2</f>
        <v>0.725</v>
      </c>
      <c r="D6" s="10" t="n">
        <v>3.5</v>
      </c>
      <c r="E6" s="27" t="n">
        <f aca="false">C6*D6*B6</f>
        <v>63.4375</v>
      </c>
      <c r="F6" s="28" t="s">
        <v>226</v>
      </c>
    </row>
    <row r="7" customFormat="false" ht="45" hidden="false" customHeight="true" outlineLevel="0" collapsed="false">
      <c r="A7" s="22" t="s">
        <v>227</v>
      </c>
      <c r="B7" s="22" t="n">
        <v>50</v>
      </c>
      <c r="C7" s="22" t="n">
        <v>1.15</v>
      </c>
      <c r="D7" s="10" t="n">
        <v>4.5</v>
      </c>
      <c r="E7" s="27" t="n">
        <f aca="false">C7*D7*B7</f>
        <v>258.75</v>
      </c>
      <c r="F7" s="28" t="s">
        <v>228</v>
      </c>
    </row>
    <row r="8" customFormat="false" ht="45" hidden="false" customHeight="true" outlineLevel="0" collapsed="false">
      <c r="A8" s="22" t="s">
        <v>229</v>
      </c>
      <c r="B8" s="22" t="n">
        <v>30</v>
      </c>
      <c r="C8" s="22" t="n">
        <f aca="false">(C7+C10)/2</f>
        <v>0.675</v>
      </c>
      <c r="D8" s="10" t="n">
        <v>5</v>
      </c>
      <c r="E8" s="27" t="n">
        <f aca="false">C8*D8*B8</f>
        <v>101.25</v>
      </c>
      <c r="F8" s="28" t="s">
        <v>230</v>
      </c>
    </row>
    <row r="10" customFormat="false" ht="15" hidden="false" customHeight="false" outlineLevel="0" collapsed="false">
      <c r="A10" s="9" t="s">
        <v>231</v>
      </c>
      <c r="B10" s="9" t="n">
        <f aca="false">SUM(B5:B8)</f>
        <v>120</v>
      </c>
      <c r="C10" s="29" t="n">
        <v>0.2</v>
      </c>
      <c r="E10" s="30" t="n">
        <f aca="false">SUM(E5:E8)</f>
        <v>436.9375</v>
      </c>
    </row>
    <row r="12" customFormat="false" ht="15" hidden="false" customHeight="false" outlineLevel="0" collapsed="false">
      <c r="A12" s="22" t="s">
        <v>232</v>
      </c>
      <c r="C12" s="25" t="s">
        <v>233</v>
      </c>
    </row>
    <row r="13" customFormat="false" ht="15" hidden="false" customHeight="false" outlineLevel="0" collapsed="false">
      <c r="A13" s="22" t="s">
        <v>234</v>
      </c>
      <c r="C13" s="9" t="str">
        <f aca="false">IF(AND(E10&gt;=300,E10&lt;=450),"YES","CHECK - outside typical range")</f>
        <v>YES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2026-08-21T22:22:15Z</dcterms:created>
  <dc:creator>openpyxl</dc:creator>
  <dc:description/>
  <dc:language>en-US</dc:language>
  <cp:lastModifiedBy/>
  <dcterms:modified xsi:type="dcterms:W3CDTF">2026-08-21T22:22:16Z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